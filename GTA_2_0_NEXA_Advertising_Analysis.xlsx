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Working_Data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Descriptive_Stats" sheetId="5" state="visible" r:id="rId5"/>
    <sheet xmlns:r="http://schemas.openxmlformats.org/officeDocument/2006/relationships" name="Correlation" sheetId="6" state="visible" r:id="rId6"/>
    <sheet xmlns:r="http://schemas.openxmlformats.org/officeDocument/2006/relationships" name="Regression_Model" sheetId="7" state="visible" r:id="rId7"/>
    <sheet xmlns:r="http://schemas.openxmlformats.org/officeDocument/2006/relationships" name="Outlier_Review" sheetId="8" state="visible" r:id="rId8"/>
    <sheet xmlns:r="http://schemas.openxmlformats.org/officeDocument/2006/relationships" name="Analysis_Summary" sheetId="9" state="visible" r:id="rId9"/>
    <sheet xmlns:r="http://schemas.openxmlformats.org/officeDocument/2006/relationships" name="Data_Dictionary" sheetId="10" state="visible" r:id="rId10"/>
  </sheets>
  <definedNames>
    <definedName name="_xlnm._FilterDatabase" localSheetId="1" hidden="1">'Raw_Data'!$A$4:$E$204</definedName>
    <definedName name="_xlnm._FilterDatabase" localSheetId="2" hidden="1">'Working_Data'!$A$4:$T$204</definedName>
    <definedName name="_xlnm._FilterDatabase" localSheetId="7" hidden="1">'Outlier_Review'!$A$4:$J$204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F4E78"/>
    </font>
    <font>
      <b val="1"/>
      <color rgb="00FFFFFF"/>
    </font>
    <font>
      <b val="1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E2F0D9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0" pivotButton="0" quotePrefix="0" xfId="0"/>
    <xf numFmtId="0" fontId="5" fillId="3" borderId="1" pivotButton="0" quotePrefix="0" xfId="0"/>
    <xf numFmtId="166" fontId="0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7" fontId="0" fillId="0" borderId="1" applyAlignment="1" pivotButton="0" quotePrefix="0" xfId="0">
      <alignment vertical="top" wrapText="1"/>
    </xf>
    <xf numFmtId="0" fontId="6" fillId="0" borderId="0" pivotButton="0" quotePrefix="0" xfId="0"/>
    <xf numFmtId="167" fontId="0" fillId="0" borderId="1" pivotButton="0" quotePrefix="0" xfId="0"/>
    <xf numFmtId="0" fontId="5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vertical="center" wrapText="1"/>
    </xf>
    <xf numFmtId="0" fontId="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wrapText="1"/>
    </xf>
    <xf numFmtId="164" fontId="0" fillId="0" borderId="6" pivotButton="0" quotePrefix="0" xfId="0"/>
    <xf numFmtId="0" fontId="0" fillId="0" borderId="6" pivotButton="0" quotePrefix="0" xfId="0"/>
    <xf numFmtId="0" fontId="0" fillId="0" borderId="6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TV Ads vs Sales</a:t>
            </a:r>
          </a:p>
        </rich>
      </tx>
    </title>
    <plotArea>
      <scatterChart>
        <ser>
          <idx val="0"/>
          <order val="0"/>
          <tx>
            <v>TV Ads vs Sales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'Working_Data'!$B$5:$B$204</f>
            </numRef>
          </xVal>
          <yVal>
            <numRef>
              <f>'Working_Data'!$E$5:$E$204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TV Ads (thousand 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(thousand units)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Social Media Ads vs Sales</a:t>
            </a:r>
          </a:p>
        </rich>
      </tx>
    </title>
    <plotArea>
      <scatterChart>
        <ser>
          <idx val="0"/>
          <order val="0"/>
          <tx>
            <v>Social Media Ads vs Sales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'Working_Data'!$C$5:$C$204</f>
            </numRef>
          </xVal>
          <yVal>
            <numRef>
              <f>'Working_Data'!$E$5:$E$204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Social Media Ads (thousand 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(thousand units)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Ads vs Sales</a:t>
            </a:r>
          </a:p>
        </rich>
      </tx>
    </title>
    <plotArea>
      <scatterChart>
        <ser>
          <idx val="0"/>
          <order val="0"/>
          <tx>
            <v>Print Ads vs Sales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'Working_Data'!$D$5:$D$204</f>
            </numRef>
          </xVal>
          <yVal>
            <numRef>
              <f>'Working_Data'!$E$5:$E$204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Print Ads (thousand 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(thousand units)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35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tblRawData" ref="A4:E204" headerRowCount="1">
  <autoFilter ref="A4:E204"/>
  <tableColumns count="5">
    <tableColumn id="1" name="market_number"/>
    <tableColumn id="2" name="tv_ads"/>
    <tableColumn id="3" name="social_media_ads"/>
    <tableColumn id="4" name="print_ads"/>
    <tableColumn id="5" name="sal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WorkingDataTable" displayName="tblWorkingData" ref="A4:T204" headerRowCount="1">
  <autoFilter ref="A4:T204"/>
  <tableColumns count="20">
    <tableColumn id="1" name="market_number"/>
    <tableColumn id="2" name="tv_ads"/>
    <tableColumn id="3" name="social_media_ads"/>
    <tableColumn id="4" name="print_ads"/>
    <tableColumn id="5" name="sales"/>
    <tableColumn id="6" name="total_ads"/>
    <tableColumn id="7" name="tv_share"/>
    <tableColumn id="8" name="social_share"/>
    <tableColumn id="9" name="print_share"/>
    <tableColumn id="10" name="sales_per_total_ad"/>
    <tableColumn id="11" name="tv_z"/>
    <tableColumn id="12" name="social_z"/>
    <tableColumn id="13" name="print_z"/>
    <tableColumn id="14" name="sales_z"/>
    <tableColumn id="15" name="total_ads_z"/>
    <tableColumn id="16" name="tv_outlier_iqr"/>
    <tableColumn id="17" name="social_outlier_iqr"/>
    <tableColumn id="18" name="print_outlier_iqr"/>
    <tableColumn id="19" name="sales_outlier_iqr"/>
    <tableColumn id="20" name="row_quality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" t="inlineStr">
        <is>
          <t>GTA 2.0 | NEXA Advertising Dataset Workbench</t>
        </is>
      </c>
    </row>
    <row r="2">
      <c r="A2" s="24" t="inlineStr">
        <is>
          <t>Workbook structure, source notes and analytical scope.</t>
        </is>
      </c>
    </row>
    <row r="3"/>
    <row r="4">
      <c r="A4" s="3" t="inlineStr">
        <is>
          <t>Purpose</t>
        </is>
      </c>
      <c r="B4" s="4" t="inlineStr">
        <is>
          <t>Prepare, validate and structure the NEXA advertising dataset for the case analysis.</t>
        </is>
      </c>
    </row>
    <row r="5">
      <c r="A5" s="3" t="inlineStr">
        <is>
          <t>Source file</t>
        </is>
      </c>
      <c r="B5" s="4" t="inlineStr">
        <is>
          <t>Advertising Data - advertising_data.csv</t>
        </is>
      </c>
    </row>
    <row r="6">
      <c r="A6" s="3" t="inlineStr">
        <is>
          <t>Source observations</t>
        </is>
      </c>
      <c r="B6" s="4" t="n">
        <v>200</v>
      </c>
    </row>
    <row r="7">
      <c r="A7" s="3" t="inlineStr">
        <is>
          <t>Source columns</t>
        </is>
      </c>
      <c r="B7" s="4" t="n">
        <v>5</v>
      </c>
    </row>
    <row r="8">
      <c r="A8" s="3" t="inlineStr">
        <is>
          <t>Source data</t>
        </is>
      </c>
      <c r="B8" s="4" t="inlineStr">
        <is>
          <t>The source sheet is retained without edits. Analysis sheets use linked source values.</t>
        </is>
      </c>
    </row>
    <row r="9">
      <c r="A9" s="3" t="inlineStr">
        <is>
          <t>Cleaning approach</t>
        </is>
      </c>
      <c r="B9" s="4" t="inlineStr">
        <is>
          <t>No records are removed automatically. Missing values, negative values, duplicate IDs and statistical outliers are flagged for review.</t>
        </is>
      </c>
    </row>
    <row r="10">
      <c r="A10" s="3" t="inlineStr">
        <is>
          <t>Calculated fields</t>
        </is>
      </c>
      <c r="B10" s="4" t="inlineStr">
        <is>
          <t>Calculated fields are shown as Excel formulas so the calculations can be traced directly in the workbook.</t>
        </is>
      </c>
    </row>
    <row r="11">
      <c r="A11" s="3" t="inlineStr">
        <is>
          <t>Scope</t>
        </is>
      </c>
      <c r="B11" s="4" t="inlineStr">
        <is>
          <t>The supplied data covers advertising expenditure and sales only. Customer purchase factors and market/macroeconomic variables require separate research.</t>
        </is>
      </c>
    </row>
    <row r="12">
      <c r="A12" s="3" t="inlineStr">
        <is>
          <t>Units</t>
        </is>
      </c>
      <c r="B12" s="4" t="inlineStr">
        <is>
          <t>The workbook is the analytical base for the next stage of statistical analysis and business research.</t>
        </is>
      </c>
    </row>
    <row r="13">
      <c r="A13" s="3" t="inlineStr">
        <is>
          <t>Use of workbook</t>
        </is>
      </c>
      <c r="B13" s="4" t="inlineStr">
        <is>
          <t>Use this validated workbook as the analytical base for deeper statistical analysis, external research, and the final 8-slide case deck.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Raw Data | Untouched Source Copy</t>
        </is>
      </c>
    </row>
    <row r="2">
      <c r="A2" s="24" t="inlineStr">
        <is>
          <t>Original dataset supplied for the GTA 2.0 case.</t>
        </is>
      </c>
    </row>
    <row r="3"/>
    <row r="4">
      <c r="A4" s="5" t="inlineStr">
        <is>
          <t>market_number</t>
        </is>
      </c>
      <c r="B4" s="5" t="inlineStr">
        <is>
          <t>tv_ads</t>
        </is>
      </c>
      <c r="C4" s="5" t="inlineStr">
        <is>
          <t>social_media_ads</t>
        </is>
      </c>
      <c r="D4" s="5" t="inlineStr">
        <is>
          <t>print_ads</t>
        </is>
      </c>
      <c r="E4" s="5" t="inlineStr">
        <is>
          <t>sales</t>
        </is>
      </c>
    </row>
    <row r="5">
      <c r="A5" s="6" t="n">
        <v>1</v>
      </c>
      <c r="B5" s="7" t="n">
        <v>230.1</v>
      </c>
      <c r="C5" s="7" t="n">
        <v>37.8</v>
      </c>
      <c r="D5" s="7" t="n">
        <v>69.2</v>
      </c>
      <c r="E5" s="7" t="n">
        <v>22.1</v>
      </c>
    </row>
    <row r="6">
      <c r="A6" s="6" t="n">
        <v>2</v>
      </c>
      <c r="B6" s="7" t="n">
        <v>44.5</v>
      </c>
      <c r="C6" s="7" t="n">
        <v>39.3</v>
      </c>
      <c r="D6" s="7" t="n">
        <v>45.1</v>
      </c>
      <c r="E6" s="7" t="n">
        <v>10.4</v>
      </c>
    </row>
    <row r="7">
      <c r="A7" s="6" t="n">
        <v>3</v>
      </c>
      <c r="B7" s="7" t="n">
        <v>17.2</v>
      </c>
      <c r="C7" s="7" t="n">
        <v>45.9</v>
      </c>
      <c r="D7" s="7" t="n">
        <v>69.3</v>
      </c>
      <c r="E7" s="7" t="n">
        <v>9.300000000000001</v>
      </c>
    </row>
    <row r="8">
      <c r="A8" s="6" t="n">
        <v>4</v>
      </c>
      <c r="B8" s="7" t="n">
        <v>151.5</v>
      </c>
      <c r="C8" s="7" t="n">
        <v>41.3</v>
      </c>
      <c r="D8" s="7" t="n">
        <v>58.5</v>
      </c>
      <c r="E8" s="7" t="n">
        <v>18.5</v>
      </c>
    </row>
    <row r="9">
      <c r="A9" s="6" t="n">
        <v>5</v>
      </c>
      <c r="B9" s="7" t="n">
        <v>180.8</v>
      </c>
      <c r="C9" s="7" t="n">
        <v>10.8</v>
      </c>
      <c r="D9" s="7" t="n">
        <v>58.4</v>
      </c>
      <c r="E9" s="7" t="n">
        <v>12.9</v>
      </c>
    </row>
    <row r="10">
      <c r="A10" s="6" t="n">
        <v>6</v>
      </c>
      <c r="B10" s="7" t="n">
        <v>8.699999999999999</v>
      </c>
      <c r="C10" s="7" t="n">
        <v>48.9</v>
      </c>
      <c r="D10" s="7" t="n">
        <v>75</v>
      </c>
      <c r="E10" s="7" t="n">
        <v>7.2</v>
      </c>
    </row>
    <row r="11">
      <c r="A11" s="6" t="n">
        <v>7</v>
      </c>
      <c r="B11" s="7" t="n">
        <v>57.5</v>
      </c>
      <c r="C11" s="7" t="n">
        <v>32.8</v>
      </c>
      <c r="D11" s="7" t="n">
        <v>23.5</v>
      </c>
      <c r="E11" s="7" t="n">
        <v>11.8</v>
      </c>
    </row>
    <row r="12">
      <c r="A12" s="6" t="n">
        <v>8</v>
      </c>
      <c r="B12" s="7" t="n">
        <v>120.2</v>
      </c>
      <c r="C12" s="7" t="n">
        <v>19.6</v>
      </c>
      <c r="D12" s="7" t="n">
        <v>11.6</v>
      </c>
      <c r="E12" s="7" t="n">
        <v>13.2</v>
      </c>
    </row>
    <row r="13">
      <c r="A13" s="6" t="n">
        <v>9</v>
      </c>
      <c r="B13" s="7" t="n">
        <v>8.6</v>
      </c>
      <c r="C13" s="7" t="n">
        <v>2.1</v>
      </c>
      <c r="D13" s="7" t="n">
        <v>1</v>
      </c>
      <c r="E13" s="7" t="n">
        <v>4.8</v>
      </c>
    </row>
    <row r="14">
      <c r="A14" s="6" t="n">
        <v>10</v>
      </c>
      <c r="B14" s="7" t="n">
        <v>199.8</v>
      </c>
      <c r="C14" s="7" t="n">
        <v>2.6</v>
      </c>
      <c r="D14" s="7" t="n">
        <v>21.2</v>
      </c>
      <c r="E14" s="7" t="n">
        <v>10.6</v>
      </c>
    </row>
    <row r="15">
      <c r="A15" s="6" t="n">
        <v>11</v>
      </c>
      <c r="B15" s="7" t="n">
        <v>66.09999999999999</v>
      </c>
      <c r="C15" s="7" t="n">
        <v>5.8</v>
      </c>
      <c r="D15" s="7" t="n">
        <v>24.2</v>
      </c>
      <c r="E15" s="7" t="n">
        <v>8.6</v>
      </c>
    </row>
    <row r="16">
      <c r="A16" s="6" t="n">
        <v>12</v>
      </c>
      <c r="B16" s="7" t="n">
        <v>214.7</v>
      </c>
      <c r="C16" s="7" t="n">
        <v>24</v>
      </c>
      <c r="D16" s="7" t="n">
        <v>4</v>
      </c>
      <c r="E16" s="7" t="n">
        <v>17.4</v>
      </c>
    </row>
    <row r="17">
      <c r="A17" s="6" t="n">
        <v>13</v>
      </c>
      <c r="B17" s="7" t="n">
        <v>23.8</v>
      </c>
      <c r="C17" s="7" t="n">
        <v>35.1</v>
      </c>
      <c r="D17" s="7" t="n">
        <v>65.90000000000001</v>
      </c>
      <c r="E17" s="7" t="n">
        <v>9.199999999999999</v>
      </c>
    </row>
    <row r="18">
      <c r="A18" s="6" t="n">
        <v>14</v>
      </c>
      <c r="B18" s="7" t="n">
        <v>97.5</v>
      </c>
      <c r="C18" s="7" t="n">
        <v>7.6</v>
      </c>
      <c r="D18" s="7" t="n">
        <v>7.2</v>
      </c>
      <c r="E18" s="7" t="n">
        <v>9.699999999999999</v>
      </c>
    </row>
    <row r="19">
      <c r="A19" s="6" t="n">
        <v>15</v>
      </c>
      <c r="B19" s="7" t="n">
        <v>204.1</v>
      </c>
      <c r="C19" s="7" t="n">
        <v>32.9</v>
      </c>
      <c r="D19" s="7" t="n">
        <v>46</v>
      </c>
      <c r="E19" s="7" t="n">
        <v>19</v>
      </c>
    </row>
    <row r="20">
      <c r="A20" s="6" t="n">
        <v>16</v>
      </c>
      <c r="B20" s="7" t="n">
        <v>195.4</v>
      </c>
      <c r="C20" s="7" t="n">
        <v>47.7</v>
      </c>
      <c r="D20" s="7" t="n">
        <v>52.9</v>
      </c>
      <c r="E20" s="7" t="n">
        <v>22.4</v>
      </c>
    </row>
    <row r="21">
      <c r="A21" s="6" t="n">
        <v>17</v>
      </c>
      <c r="B21" s="7" t="n">
        <v>67.8</v>
      </c>
      <c r="C21" s="7" t="n">
        <v>36.6</v>
      </c>
      <c r="D21" s="7" t="n">
        <v>114</v>
      </c>
      <c r="E21" s="7" t="n">
        <v>12.5</v>
      </c>
    </row>
    <row r="22">
      <c r="A22" s="6" t="n">
        <v>18</v>
      </c>
      <c r="B22" s="7" t="n">
        <v>281.4</v>
      </c>
      <c r="C22" s="7" t="n">
        <v>39.6</v>
      </c>
      <c r="D22" s="7" t="n">
        <v>55.8</v>
      </c>
      <c r="E22" s="7" t="n">
        <v>24.4</v>
      </c>
    </row>
    <row r="23">
      <c r="A23" s="6" t="n">
        <v>19</v>
      </c>
      <c r="B23" s="7" t="n">
        <v>69.2</v>
      </c>
      <c r="C23" s="7" t="n">
        <v>20.5</v>
      </c>
      <c r="D23" s="7" t="n">
        <v>18.3</v>
      </c>
      <c r="E23" s="7" t="n">
        <v>11.3</v>
      </c>
    </row>
    <row r="24">
      <c r="A24" s="6" t="n">
        <v>20</v>
      </c>
      <c r="B24" s="7" t="n">
        <v>147.3</v>
      </c>
      <c r="C24" s="7" t="n">
        <v>23.9</v>
      </c>
      <c r="D24" s="7" t="n">
        <v>19.1</v>
      </c>
      <c r="E24" s="7" t="n">
        <v>14.6</v>
      </c>
    </row>
    <row r="25">
      <c r="A25" s="6" t="n">
        <v>21</v>
      </c>
      <c r="B25" s="7" t="n">
        <v>218.4</v>
      </c>
      <c r="C25" s="7" t="n">
        <v>27.7</v>
      </c>
      <c r="D25" s="7" t="n">
        <v>53.4</v>
      </c>
      <c r="E25" s="7" t="n">
        <v>18</v>
      </c>
    </row>
    <row r="26">
      <c r="A26" s="6" t="n">
        <v>22</v>
      </c>
      <c r="B26" s="7" t="n">
        <v>237.4</v>
      </c>
      <c r="C26" s="7" t="n">
        <v>5.1</v>
      </c>
      <c r="D26" s="7" t="n">
        <v>23.5</v>
      </c>
      <c r="E26" s="7" t="n">
        <v>12.5</v>
      </c>
    </row>
    <row r="27">
      <c r="A27" s="6" t="n">
        <v>23</v>
      </c>
      <c r="B27" s="7" t="n">
        <v>13.2</v>
      </c>
      <c r="C27" s="7" t="n">
        <v>15.9</v>
      </c>
      <c r="D27" s="7" t="n">
        <v>49.6</v>
      </c>
      <c r="E27" s="7" t="n">
        <v>5.6</v>
      </c>
    </row>
    <row r="28">
      <c r="A28" s="6" t="n">
        <v>24</v>
      </c>
      <c r="B28" s="7" t="n">
        <v>228.3</v>
      </c>
      <c r="C28" s="7" t="n">
        <v>16.9</v>
      </c>
      <c r="D28" s="7" t="n">
        <v>26.2</v>
      </c>
      <c r="E28" s="7" t="n">
        <v>15.5</v>
      </c>
    </row>
    <row r="29">
      <c r="A29" s="6" t="n">
        <v>25</v>
      </c>
      <c r="B29" s="7" t="n">
        <v>62.3</v>
      </c>
      <c r="C29" s="7" t="n">
        <v>12.6</v>
      </c>
      <c r="D29" s="7" t="n">
        <v>18.3</v>
      </c>
      <c r="E29" s="7" t="n">
        <v>9.699999999999999</v>
      </c>
    </row>
    <row r="30">
      <c r="A30" s="6" t="n">
        <v>26</v>
      </c>
      <c r="B30" s="7" t="n">
        <v>262.9</v>
      </c>
      <c r="C30" s="7" t="n">
        <v>3.5</v>
      </c>
      <c r="D30" s="7" t="n">
        <v>19.5</v>
      </c>
      <c r="E30" s="7" t="n">
        <v>12</v>
      </c>
    </row>
    <row r="31">
      <c r="A31" s="6" t="n">
        <v>27</v>
      </c>
      <c r="B31" s="7" t="n">
        <v>142.9</v>
      </c>
      <c r="C31" s="7" t="n">
        <v>29.3</v>
      </c>
      <c r="D31" s="7" t="n">
        <v>12.6</v>
      </c>
      <c r="E31" s="7" t="n">
        <v>15</v>
      </c>
    </row>
    <row r="32">
      <c r="A32" s="6" t="n">
        <v>28</v>
      </c>
      <c r="B32" s="7" t="n">
        <v>240.1</v>
      </c>
      <c r="C32" s="7" t="n">
        <v>16.7</v>
      </c>
      <c r="D32" s="7" t="n">
        <v>22.9</v>
      </c>
      <c r="E32" s="7" t="n">
        <v>15.9</v>
      </c>
    </row>
    <row r="33">
      <c r="A33" s="6" t="n">
        <v>29</v>
      </c>
      <c r="B33" s="7" t="n">
        <v>248.8</v>
      </c>
      <c r="C33" s="7" t="n">
        <v>27.1</v>
      </c>
      <c r="D33" s="7" t="n">
        <v>22.9</v>
      </c>
      <c r="E33" s="7" t="n">
        <v>18.9</v>
      </c>
    </row>
    <row r="34">
      <c r="A34" s="6" t="n">
        <v>30</v>
      </c>
      <c r="B34" s="7" t="n">
        <v>70.59999999999999</v>
      </c>
      <c r="C34" s="7" t="n">
        <v>16</v>
      </c>
      <c r="D34" s="7" t="n">
        <v>40.8</v>
      </c>
      <c r="E34" s="7" t="n">
        <v>10.5</v>
      </c>
    </row>
    <row r="35">
      <c r="A35" s="6" t="n">
        <v>31</v>
      </c>
      <c r="B35" s="7" t="n">
        <v>292.9</v>
      </c>
      <c r="C35" s="7" t="n">
        <v>28.3</v>
      </c>
      <c r="D35" s="7" t="n">
        <v>43.2</v>
      </c>
      <c r="E35" s="7" t="n">
        <v>21.4</v>
      </c>
    </row>
    <row r="36">
      <c r="A36" s="6" t="n">
        <v>32</v>
      </c>
      <c r="B36" s="7" t="n">
        <v>112.9</v>
      </c>
      <c r="C36" s="7" t="n">
        <v>17.4</v>
      </c>
      <c r="D36" s="7" t="n">
        <v>38.6</v>
      </c>
      <c r="E36" s="7" t="n">
        <v>11.9</v>
      </c>
    </row>
    <row r="37">
      <c r="A37" s="6" t="n">
        <v>33</v>
      </c>
      <c r="B37" s="7" t="n">
        <v>97.2</v>
      </c>
      <c r="C37" s="7" t="n">
        <v>1.5</v>
      </c>
      <c r="D37" s="7" t="n">
        <v>30</v>
      </c>
      <c r="E37" s="7" t="n">
        <v>9.6</v>
      </c>
    </row>
    <row r="38">
      <c r="A38" s="6" t="n">
        <v>34</v>
      </c>
      <c r="B38" s="7" t="n">
        <v>265.6</v>
      </c>
      <c r="C38" s="7" t="n">
        <v>20</v>
      </c>
      <c r="D38" s="7" t="n">
        <v>0.3</v>
      </c>
      <c r="E38" s="7" t="n">
        <v>17.4</v>
      </c>
    </row>
    <row r="39">
      <c r="A39" s="6" t="n">
        <v>35</v>
      </c>
      <c r="B39" s="7" t="n">
        <v>95.7</v>
      </c>
      <c r="C39" s="7" t="n">
        <v>1.4</v>
      </c>
      <c r="D39" s="7" t="n">
        <v>7.4</v>
      </c>
      <c r="E39" s="7" t="n">
        <v>9.5</v>
      </c>
    </row>
    <row r="40">
      <c r="A40" s="6" t="n">
        <v>36</v>
      </c>
      <c r="B40" s="7" t="n">
        <v>290.7</v>
      </c>
      <c r="C40" s="7" t="n">
        <v>4.1</v>
      </c>
      <c r="D40" s="7" t="n">
        <v>8.5</v>
      </c>
      <c r="E40" s="7" t="n">
        <v>12.8</v>
      </c>
    </row>
    <row r="41">
      <c r="A41" s="6" t="n">
        <v>37</v>
      </c>
      <c r="B41" s="7" t="n">
        <v>266.9</v>
      </c>
      <c r="C41" s="7" t="n">
        <v>43.8</v>
      </c>
      <c r="D41" s="7" t="n">
        <v>5</v>
      </c>
      <c r="E41" s="7" t="n">
        <v>25.4</v>
      </c>
    </row>
    <row r="42">
      <c r="A42" s="6" t="n">
        <v>38</v>
      </c>
      <c r="B42" s="7" t="n">
        <v>74.7</v>
      </c>
      <c r="C42" s="7" t="n">
        <v>49.4</v>
      </c>
      <c r="D42" s="7" t="n">
        <v>45.7</v>
      </c>
      <c r="E42" s="7" t="n">
        <v>14.7</v>
      </c>
    </row>
    <row r="43">
      <c r="A43" s="6" t="n">
        <v>39</v>
      </c>
      <c r="B43" s="7" t="n">
        <v>43.1</v>
      </c>
      <c r="C43" s="7" t="n">
        <v>26.7</v>
      </c>
      <c r="D43" s="7" t="n">
        <v>35.1</v>
      </c>
      <c r="E43" s="7" t="n">
        <v>10.1</v>
      </c>
    </row>
    <row r="44">
      <c r="A44" s="6" t="n">
        <v>40</v>
      </c>
      <c r="B44" s="7" t="n">
        <v>228</v>
      </c>
      <c r="C44" s="7" t="n">
        <v>37.7</v>
      </c>
      <c r="D44" s="7" t="n">
        <v>32</v>
      </c>
      <c r="E44" s="7" t="n">
        <v>21.5</v>
      </c>
    </row>
    <row r="45">
      <c r="A45" s="6" t="n">
        <v>41</v>
      </c>
      <c r="B45" s="7" t="n">
        <v>202.5</v>
      </c>
      <c r="C45" s="7" t="n">
        <v>22.3</v>
      </c>
      <c r="D45" s="7" t="n">
        <v>31.6</v>
      </c>
      <c r="E45" s="7" t="n">
        <v>16.6</v>
      </c>
    </row>
    <row r="46">
      <c r="A46" s="6" t="n">
        <v>42</v>
      </c>
      <c r="B46" s="7" t="n">
        <v>177</v>
      </c>
      <c r="C46" s="7" t="n">
        <v>33.4</v>
      </c>
      <c r="D46" s="7" t="n">
        <v>38.7</v>
      </c>
      <c r="E46" s="7" t="n">
        <v>17.1</v>
      </c>
    </row>
    <row r="47">
      <c r="A47" s="6" t="n">
        <v>43</v>
      </c>
      <c r="B47" s="7" t="n">
        <v>293.6</v>
      </c>
      <c r="C47" s="7" t="n">
        <v>27.7</v>
      </c>
      <c r="D47" s="7" t="n">
        <v>1.8</v>
      </c>
      <c r="E47" s="7" t="n">
        <v>20.7</v>
      </c>
    </row>
    <row r="48">
      <c r="A48" s="6" t="n">
        <v>44</v>
      </c>
      <c r="B48" s="7" t="n">
        <v>206.9</v>
      </c>
      <c r="C48" s="7" t="n">
        <v>8.4</v>
      </c>
      <c r="D48" s="7" t="n">
        <v>26.4</v>
      </c>
      <c r="E48" s="7" t="n">
        <v>12.9</v>
      </c>
    </row>
    <row r="49">
      <c r="A49" s="6" t="n">
        <v>45</v>
      </c>
      <c r="B49" s="7" t="n">
        <v>25.1</v>
      </c>
      <c r="C49" s="7" t="n">
        <v>25.7</v>
      </c>
      <c r="D49" s="7" t="n">
        <v>43.3</v>
      </c>
      <c r="E49" s="7" t="n">
        <v>8.5</v>
      </c>
    </row>
    <row r="50">
      <c r="A50" s="6" t="n">
        <v>46</v>
      </c>
      <c r="B50" s="7" t="n">
        <v>175.1</v>
      </c>
      <c r="C50" s="7" t="n">
        <v>22.5</v>
      </c>
      <c r="D50" s="7" t="n">
        <v>31.5</v>
      </c>
      <c r="E50" s="7" t="n">
        <v>14.9</v>
      </c>
    </row>
    <row r="51">
      <c r="A51" s="6" t="n">
        <v>47</v>
      </c>
      <c r="B51" s="7" t="n">
        <v>89.7</v>
      </c>
      <c r="C51" s="7" t="n">
        <v>9.9</v>
      </c>
      <c r="D51" s="7" t="n">
        <v>35.7</v>
      </c>
      <c r="E51" s="7" t="n">
        <v>10.6</v>
      </c>
    </row>
    <row r="52">
      <c r="A52" s="6" t="n">
        <v>48</v>
      </c>
      <c r="B52" s="7" t="n">
        <v>239.9</v>
      </c>
      <c r="C52" s="7" t="n">
        <v>41.5</v>
      </c>
      <c r="D52" s="7" t="n">
        <v>18.5</v>
      </c>
      <c r="E52" s="7" t="n">
        <v>23.2</v>
      </c>
    </row>
    <row r="53">
      <c r="A53" s="6" t="n">
        <v>49</v>
      </c>
      <c r="B53" s="7" t="n">
        <v>227.2</v>
      </c>
      <c r="C53" s="7" t="n">
        <v>15.8</v>
      </c>
      <c r="D53" s="7" t="n">
        <v>49.9</v>
      </c>
      <c r="E53" s="7" t="n">
        <v>14.8</v>
      </c>
    </row>
    <row r="54">
      <c r="A54" s="6" t="n">
        <v>50</v>
      </c>
      <c r="B54" s="7" t="n">
        <v>66.90000000000001</v>
      </c>
      <c r="C54" s="7" t="n">
        <v>11.7</v>
      </c>
      <c r="D54" s="7" t="n">
        <v>36.8</v>
      </c>
      <c r="E54" s="7" t="n">
        <v>9.699999999999999</v>
      </c>
    </row>
    <row r="55">
      <c r="A55" s="6" t="n">
        <v>51</v>
      </c>
      <c r="B55" s="7" t="n">
        <v>199.8</v>
      </c>
      <c r="C55" s="7" t="n">
        <v>3.1</v>
      </c>
      <c r="D55" s="7" t="n">
        <v>34.6</v>
      </c>
      <c r="E55" s="7" t="n">
        <v>11.4</v>
      </c>
    </row>
    <row r="56">
      <c r="A56" s="6" t="n">
        <v>52</v>
      </c>
      <c r="B56" s="7" t="n">
        <v>100.4</v>
      </c>
      <c r="C56" s="7" t="n">
        <v>9.6</v>
      </c>
      <c r="D56" s="7" t="n">
        <v>3.6</v>
      </c>
      <c r="E56" s="7" t="n">
        <v>10.7</v>
      </c>
    </row>
    <row r="57">
      <c r="A57" s="6" t="n">
        <v>53</v>
      </c>
      <c r="B57" s="7" t="n">
        <v>216.4</v>
      </c>
      <c r="C57" s="7" t="n">
        <v>41.7</v>
      </c>
      <c r="D57" s="7" t="n">
        <v>39.6</v>
      </c>
      <c r="E57" s="7" t="n">
        <v>22.6</v>
      </c>
    </row>
    <row r="58">
      <c r="A58" s="6" t="n">
        <v>54</v>
      </c>
      <c r="B58" s="7" t="n">
        <v>182.6</v>
      </c>
      <c r="C58" s="7" t="n">
        <v>46.2</v>
      </c>
      <c r="D58" s="7" t="n">
        <v>58.7</v>
      </c>
      <c r="E58" s="7" t="n">
        <v>21.2</v>
      </c>
    </row>
    <row r="59">
      <c r="A59" s="6" t="n">
        <v>55</v>
      </c>
      <c r="B59" s="7" t="n">
        <v>262.7</v>
      </c>
      <c r="C59" s="7" t="n">
        <v>28.8</v>
      </c>
      <c r="D59" s="7" t="n">
        <v>15.9</v>
      </c>
      <c r="E59" s="7" t="n">
        <v>20.2</v>
      </c>
    </row>
    <row r="60">
      <c r="A60" s="6" t="n">
        <v>56</v>
      </c>
      <c r="B60" s="7" t="n">
        <v>198.9</v>
      </c>
      <c r="C60" s="7" t="n">
        <v>49.4</v>
      </c>
      <c r="D60" s="7" t="n">
        <v>60</v>
      </c>
      <c r="E60" s="7" t="n">
        <v>23.7</v>
      </c>
    </row>
    <row r="61">
      <c r="A61" s="6" t="n">
        <v>57</v>
      </c>
      <c r="B61" s="7" t="n">
        <v>7.3</v>
      </c>
      <c r="C61" s="7" t="n">
        <v>28.1</v>
      </c>
      <c r="D61" s="7" t="n">
        <v>41.4</v>
      </c>
      <c r="E61" s="7" t="n">
        <v>5.5</v>
      </c>
    </row>
    <row r="62">
      <c r="A62" s="6" t="n">
        <v>58</v>
      </c>
      <c r="B62" s="7" t="n">
        <v>136.2</v>
      </c>
      <c r="C62" s="7" t="n">
        <v>19.2</v>
      </c>
      <c r="D62" s="7" t="n">
        <v>16.6</v>
      </c>
      <c r="E62" s="7" t="n">
        <v>13.2</v>
      </c>
    </row>
    <row r="63">
      <c r="A63" s="6" t="n">
        <v>59</v>
      </c>
      <c r="B63" s="7" t="n">
        <v>210.8</v>
      </c>
      <c r="C63" s="7" t="n">
        <v>49.6</v>
      </c>
      <c r="D63" s="7" t="n">
        <v>37.7</v>
      </c>
      <c r="E63" s="7" t="n">
        <v>23.8</v>
      </c>
    </row>
    <row r="64">
      <c r="A64" s="6" t="n">
        <v>60</v>
      </c>
      <c r="B64" s="7" t="n">
        <v>210.7</v>
      </c>
      <c r="C64" s="7" t="n">
        <v>29.5</v>
      </c>
      <c r="D64" s="7" t="n">
        <v>9.300000000000001</v>
      </c>
      <c r="E64" s="7" t="n">
        <v>18.4</v>
      </c>
    </row>
    <row r="65">
      <c r="A65" s="6" t="n">
        <v>61</v>
      </c>
      <c r="B65" s="7" t="n">
        <v>53.5</v>
      </c>
      <c r="C65" s="7" t="n">
        <v>2</v>
      </c>
      <c r="D65" s="7" t="n">
        <v>21.4</v>
      </c>
      <c r="E65" s="7" t="n">
        <v>8.1</v>
      </c>
    </row>
    <row r="66">
      <c r="A66" s="6" t="n">
        <v>62</v>
      </c>
      <c r="B66" s="7" t="n">
        <v>261.3</v>
      </c>
      <c r="C66" s="7" t="n">
        <v>42.7</v>
      </c>
      <c r="D66" s="7" t="n">
        <v>54.7</v>
      </c>
      <c r="E66" s="7" t="n">
        <v>24.2</v>
      </c>
    </row>
    <row r="67">
      <c r="A67" s="6" t="n">
        <v>63</v>
      </c>
      <c r="B67" s="7" t="n">
        <v>239.3</v>
      </c>
      <c r="C67" s="7" t="n">
        <v>15.5</v>
      </c>
      <c r="D67" s="7" t="n">
        <v>27.3</v>
      </c>
      <c r="E67" s="7" t="n">
        <v>15.7</v>
      </c>
    </row>
    <row r="68">
      <c r="A68" s="6" t="n">
        <v>64</v>
      </c>
      <c r="B68" s="7" t="n">
        <v>102.7</v>
      </c>
      <c r="C68" s="7" t="n">
        <v>29.6</v>
      </c>
      <c r="D68" s="7" t="n">
        <v>8.4</v>
      </c>
      <c r="E68" s="7" t="n">
        <v>14</v>
      </c>
    </row>
    <row r="69">
      <c r="A69" s="6" t="n">
        <v>65</v>
      </c>
      <c r="B69" s="7" t="n">
        <v>131.1</v>
      </c>
      <c r="C69" s="7" t="n">
        <v>42.8</v>
      </c>
      <c r="D69" s="7" t="n">
        <v>28.9</v>
      </c>
      <c r="E69" s="7" t="n">
        <v>18</v>
      </c>
    </row>
    <row r="70">
      <c r="A70" s="6" t="n">
        <v>66</v>
      </c>
      <c r="B70" s="7" t="n">
        <v>69</v>
      </c>
      <c r="C70" s="7" t="n">
        <v>9.300000000000001</v>
      </c>
      <c r="D70" s="7" t="n">
        <v>0.9</v>
      </c>
      <c r="E70" s="7" t="n">
        <v>9.300000000000001</v>
      </c>
    </row>
    <row r="71">
      <c r="A71" s="6" t="n">
        <v>67</v>
      </c>
      <c r="B71" s="7" t="n">
        <v>31.5</v>
      </c>
      <c r="C71" s="7" t="n">
        <v>24.6</v>
      </c>
      <c r="D71" s="7" t="n">
        <v>2.2</v>
      </c>
      <c r="E71" s="7" t="n">
        <v>9.5</v>
      </c>
    </row>
    <row r="72">
      <c r="A72" s="6" t="n">
        <v>68</v>
      </c>
      <c r="B72" s="7" t="n">
        <v>139.3</v>
      </c>
      <c r="C72" s="7" t="n">
        <v>14.5</v>
      </c>
      <c r="D72" s="7" t="n">
        <v>10.2</v>
      </c>
      <c r="E72" s="7" t="n">
        <v>13.4</v>
      </c>
    </row>
    <row r="73">
      <c r="A73" s="6" t="n">
        <v>69</v>
      </c>
      <c r="B73" s="7" t="n">
        <v>237.4</v>
      </c>
      <c r="C73" s="7" t="n">
        <v>27.5</v>
      </c>
      <c r="D73" s="7" t="n">
        <v>11</v>
      </c>
      <c r="E73" s="7" t="n">
        <v>18.9</v>
      </c>
    </row>
    <row r="74">
      <c r="A74" s="6" t="n">
        <v>70</v>
      </c>
      <c r="B74" s="7" t="n">
        <v>216.8</v>
      </c>
      <c r="C74" s="7" t="n">
        <v>43.9</v>
      </c>
      <c r="D74" s="7" t="n">
        <v>27.2</v>
      </c>
      <c r="E74" s="7" t="n">
        <v>22.3</v>
      </c>
    </row>
    <row r="75">
      <c r="A75" s="6" t="n">
        <v>71</v>
      </c>
      <c r="B75" s="7" t="n">
        <v>199.1</v>
      </c>
      <c r="C75" s="7" t="n">
        <v>30.6</v>
      </c>
      <c r="D75" s="7" t="n">
        <v>38.7</v>
      </c>
      <c r="E75" s="7" t="n">
        <v>18.3</v>
      </c>
    </row>
    <row r="76">
      <c r="A76" s="6" t="n">
        <v>72</v>
      </c>
      <c r="B76" s="7" t="n">
        <v>109.8</v>
      </c>
      <c r="C76" s="7" t="n">
        <v>14.3</v>
      </c>
      <c r="D76" s="7" t="n">
        <v>31.7</v>
      </c>
      <c r="E76" s="7" t="n">
        <v>12.4</v>
      </c>
    </row>
    <row r="77">
      <c r="A77" s="6" t="n">
        <v>73</v>
      </c>
      <c r="B77" s="7" t="n">
        <v>26.8</v>
      </c>
      <c r="C77" s="7" t="n">
        <v>33</v>
      </c>
      <c r="D77" s="7" t="n">
        <v>19.3</v>
      </c>
      <c r="E77" s="7" t="n">
        <v>8.800000000000001</v>
      </c>
    </row>
    <row r="78">
      <c r="A78" s="6" t="n">
        <v>74</v>
      </c>
      <c r="B78" s="7" t="n">
        <v>129.4</v>
      </c>
      <c r="C78" s="7" t="n">
        <v>5.7</v>
      </c>
      <c r="D78" s="7" t="n">
        <v>31.3</v>
      </c>
      <c r="E78" s="7" t="n">
        <v>11</v>
      </c>
    </row>
    <row r="79">
      <c r="A79" s="6" t="n">
        <v>75</v>
      </c>
      <c r="B79" s="7" t="n">
        <v>213.4</v>
      </c>
      <c r="C79" s="7" t="n">
        <v>24.6</v>
      </c>
      <c r="D79" s="7" t="n">
        <v>13.1</v>
      </c>
      <c r="E79" s="7" t="n">
        <v>17</v>
      </c>
    </row>
    <row r="80">
      <c r="A80" s="6" t="n">
        <v>76</v>
      </c>
      <c r="B80" s="7" t="n">
        <v>16.9</v>
      </c>
      <c r="C80" s="7" t="n">
        <v>43.7</v>
      </c>
      <c r="D80" s="7" t="n">
        <v>89.40000000000001</v>
      </c>
      <c r="E80" s="7" t="n">
        <v>8.699999999999999</v>
      </c>
    </row>
    <row r="81">
      <c r="A81" s="6" t="n">
        <v>77</v>
      </c>
      <c r="B81" s="7" t="n">
        <v>27.5</v>
      </c>
      <c r="C81" s="7" t="n">
        <v>1.6</v>
      </c>
      <c r="D81" s="7" t="n">
        <v>20.7</v>
      </c>
      <c r="E81" s="7" t="n">
        <v>6.9</v>
      </c>
    </row>
    <row r="82">
      <c r="A82" s="6" t="n">
        <v>78</v>
      </c>
      <c r="B82" s="7" t="n">
        <v>120.5</v>
      </c>
      <c r="C82" s="7" t="n">
        <v>28.5</v>
      </c>
      <c r="D82" s="7" t="n">
        <v>14.2</v>
      </c>
      <c r="E82" s="7" t="n">
        <v>14.2</v>
      </c>
    </row>
    <row r="83">
      <c r="A83" s="6" t="n">
        <v>79</v>
      </c>
      <c r="B83" s="7" t="n">
        <v>5.4</v>
      </c>
      <c r="C83" s="7" t="n">
        <v>29.9</v>
      </c>
      <c r="D83" s="7" t="n">
        <v>9.4</v>
      </c>
      <c r="E83" s="7" t="n">
        <v>5.3</v>
      </c>
    </row>
    <row r="84">
      <c r="A84" s="6" t="n">
        <v>80</v>
      </c>
      <c r="B84" s="7" t="n">
        <v>116</v>
      </c>
      <c r="C84" s="7" t="n">
        <v>7.7</v>
      </c>
      <c r="D84" s="7" t="n">
        <v>23.1</v>
      </c>
      <c r="E84" s="7" t="n">
        <v>11</v>
      </c>
    </row>
    <row r="85">
      <c r="A85" s="6" t="n">
        <v>81</v>
      </c>
      <c r="B85" s="7" t="n">
        <v>76.40000000000001</v>
      </c>
      <c r="C85" s="7" t="n">
        <v>26.7</v>
      </c>
      <c r="D85" s="7" t="n">
        <v>22.3</v>
      </c>
      <c r="E85" s="7" t="n">
        <v>11.8</v>
      </c>
    </row>
    <row r="86">
      <c r="A86" s="6" t="n">
        <v>82</v>
      </c>
      <c r="B86" s="7" t="n">
        <v>239.8</v>
      </c>
      <c r="C86" s="7" t="n">
        <v>4.1</v>
      </c>
      <c r="D86" s="7" t="n">
        <v>36.9</v>
      </c>
      <c r="E86" s="7" t="n">
        <v>12.3</v>
      </c>
    </row>
    <row r="87">
      <c r="A87" s="6" t="n">
        <v>83</v>
      </c>
      <c r="B87" s="7" t="n">
        <v>75.3</v>
      </c>
      <c r="C87" s="7" t="n">
        <v>20.3</v>
      </c>
      <c r="D87" s="7" t="n">
        <v>32.5</v>
      </c>
      <c r="E87" s="7" t="n">
        <v>11.3</v>
      </c>
    </row>
    <row r="88">
      <c r="A88" s="6" t="n">
        <v>84</v>
      </c>
      <c r="B88" s="7" t="n">
        <v>68.40000000000001</v>
      </c>
      <c r="C88" s="7" t="n">
        <v>44.5</v>
      </c>
      <c r="D88" s="7" t="n">
        <v>35.6</v>
      </c>
      <c r="E88" s="7" t="n">
        <v>13.6</v>
      </c>
    </row>
    <row r="89">
      <c r="A89" s="6" t="n">
        <v>85</v>
      </c>
      <c r="B89" s="7" t="n">
        <v>213.5</v>
      </c>
      <c r="C89" s="7" t="n">
        <v>43</v>
      </c>
      <c r="D89" s="7" t="n">
        <v>33.8</v>
      </c>
      <c r="E89" s="7" t="n">
        <v>21.7</v>
      </c>
    </row>
    <row r="90">
      <c r="A90" s="6" t="n">
        <v>86</v>
      </c>
      <c r="B90" s="7" t="n">
        <v>193.2</v>
      </c>
      <c r="C90" s="7" t="n">
        <v>18.4</v>
      </c>
      <c r="D90" s="7" t="n">
        <v>65.7</v>
      </c>
      <c r="E90" s="7" t="n">
        <v>15.2</v>
      </c>
    </row>
    <row r="91">
      <c r="A91" s="6" t="n">
        <v>87</v>
      </c>
      <c r="B91" s="7" t="n">
        <v>76.3</v>
      </c>
      <c r="C91" s="7" t="n">
        <v>27.5</v>
      </c>
      <c r="D91" s="7" t="n">
        <v>16</v>
      </c>
      <c r="E91" s="7" t="n">
        <v>12</v>
      </c>
    </row>
    <row r="92">
      <c r="A92" s="6" t="n">
        <v>88</v>
      </c>
      <c r="B92" s="7" t="n">
        <v>110.7</v>
      </c>
      <c r="C92" s="7" t="n">
        <v>40.6</v>
      </c>
      <c r="D92" s="7" t="n">
        <v>63.2</v>
      </c>
      <c r="E92" s="7" t="n">
        <v>16</v>
      </c>
    </row>
    <row r="93">
      <c r="A93" s="6" t="n">
        <v>89</v>
      </c>
      <c r="B93" s="7" t="n">
        <v>88.3</v>
      </c>
      <c r="C93" s="7" t="n">
        <v>25.5</v>
      </c>
      <c r="D93" s="7" t="n">
        <v>73.40000000000001</v>
      </c>
      <c r="E93" s="7" t="n">
        <v>12.9</v>
      </c>
    </row>
    <row r="94">
      <c r="A94" s="6" t="n">
        <v>90</v>
      </c>
      <c r="B94" s="7" t="n">
        <v>109.8</v>
      </c>
      <c r="C94" s="7" t="n">
        <v>47.8</v>
      </c>
      <c r="D94" s="7" t="n">
        <v>51.4</v>
      </c>
      <c r="E94" s="7" t="n">
        <v>16.7</v>
      </c>
    </row>
    <row r="95">
      <c r="A95" s="6" t="n">
        <v>91</v>
      </c>
      <c r="B95" s="7" t="n">
        <v>134.3</v>
      </c>
      <c r="C95" s="7" t="n">
        <v>4.9</v>
      </c>
      <c r="D95" s="7" t="n">
        <v>9.300000000000001</v>
      </c>
      <c r="E95" s="7" t="n">
        <v>11.2</v>
      </c>
    </row>
    <row r="96">
      <c r="A96" s="6" t="n">
        <v>92</v>
      </c>
      <c r="B96" s="7" t="n">
        <v>28.6</v>
      </c>
      <c r="C96" s="7" t="n">
        <v>1.5</v>
      </c>
      <c r="D96" s="7" t="n">
        <v>33</v>
      </c>
      <c r="E96" s="7" t="n">
        <v>7.3</v>
      </c>
    </row>
    <row r="97">
      <c r="A97" s="6" t="n">
        <v>93</v>
      </c>
      <c r="B97" s="7" t="n">
        <v>217.7</v>
      </c>
      <c r="C97" s="7" t="n">
        <v>33.5</v>
      </c>
      <c r="D97" s="7" t="n">
        <v>59</v>
      </c>
      <c r="E97" s="7" t="n">
        <v>19.4</v>
      </c>
    </row>
    <row r="98">
      <c r="A98" s="6" t="n">
        <v>94</v>
      </c>
      <c r="B98" s="7" t="n">
        <v>250.9</v>
      </c>
      <c r="C98" s="7" t="n">
        <v>36.5</v>
      </c>
      <c r="D98" s="7" t="n">
        <v>72.3</v>
      </c>
      <c r="E98" s="7" t="n">
        <v>22.2</v>
      </c>
    </row>
    <row r="99">
      <c r="A99" s="6" t="n">
        <v>95</v>
      </c>
      <c r="B99" s="7" t="n">
        <v>107.4</v>
      </c>
      <c r="C99" s="7" t="n">
        <v>14</v>
      </c>
      <c r="D99" s="7" t="n">
        <v>10.9</v>
      </c>
      <c r="E99" s="7" t="n">
        <v>11.5</v>
      </c>
    </row>
    <row r="100">
      <c r="A100" s="6" t="n">
        <v>96</v>
      </c>
      <c r="B100" s="7" t="n">
        <v>163.3</v>
      </c>
      <c r="C100" s="7" t="n">
        <v>31.6</v>
      </c>
      <c r="D100" s="7" t="n">
        <v>52.9</v>
      </c>
      <c r="E100" s="7" t="n">
        <v>16.9</v>
      </c>
    </row>
    <row r="101">
      <c r="A101" s="6" t="n">
        <v>97</v>
      </c>
      <c r="B101" s="7" t="n">
        <v>197.6</v>
      </c>
      <c r="C101" s="7" t="n">
        <v>3.5</v>
      </c>
      <c r="D101" s="7" t="n">
        <v>5.9</v>
      </c>
      <c r="E101" s="7" t="n">
        <v>11.7</v>
      </c>
    </row>
    <row r="102">
      <c r="A102" s="6" t="n">
        <v>98</v>
      </c>
      <c r="B102" s="7" t="n">
        <v>184.9</v>
      </c>
      <c r="C102" s="7" t="n">
        <v>21</v>
      </c>
      <c r="D102" s="7" t="n">
        <v>22</v>
      </c>
      <c r="E102" s="7" t="n">
        <v>15.5</v>
      </c>
    </row>
    <row r="103">
      <c r="A103" s="6" t="n">
        <v>99</v>
      </c>
      <c r="B103" s="7" t="n">
        <v>289.7</v>
      </c>
      <c r="C103" s="7" t="n">
        <v>42.3</v>
      </c>
      <c r="D103" s="7" t="n">
        <v>51.2</v>
      </c>
      <c r="E103" s="7" t="n">
        <v>25.4</v>
      </c>
    </row>
    <row r="104">
      <c r="A104" s="6" t="n">
        <v>100</v>
      </c>
      <c r="B104" s="7" t="n">
        <v>135.2</v>
      </c>
      <c r="C104" s="7" t="n">
        <v>41.7</v>
      </c>
      <c r="D104" s="7" t="n">
        <v>45.9</v>
      </c>
      <c r="E104" s="7" t="n">
        <v>17.2</v>
      </c>
    </row>
    <row r="105">
      <c r="A105" s="6" t="n">
        <v>101</v>
      </c>
      <c r="B105" s="7" t="n">
        <v>222.4</v>
      </c>
      <c r="C105" s="7" t="n">
        <v>4.3</v>
      </c>
      <c r="D105" s="7" t="n">
        <v>49.8</v>
      </c>
      <c r="E105" s="7" t="n">
        <v>11.7</v>
      </c>
    </row>
    <row r="106">
      <c r="A106" s="6" t="n">
        <v>102</v>
      </c>
      <c r="B106" s="7" t="n">
        <v>296.4</v>
      </c>
      <c r="C106" s="7" t="n">
        <v>36.3</v>
      </c>
      <c r="D106" s="7" t="n">
        <v>100.9</v>
      </c>
      <c r="E106" s="7" t="n">
        <v>23.8</v>
      </c>
    </row>
    <row r="107">
      <c r="A107" s="6" t="n">
        <v>103</v>
      </c>
      <c r="B107" s="7" t="n">
        <v>280.2</v>
      </c>
      <c r="C107" s="7" t="n">
        <v>10.1</v>
      </c>
      <c r="D107" s="7" t="n">
        <v>21.4</v>
      </c>
      <c r="E107" s="7" t="n">
        <v>14.8</v>
      </c>
    </row>
    <row r="108">
      <c r="A108" s="6" t="n">
        <v>104</v>
      </c>
      <c r="B108" s="7" t="n">
        <v>187.9</v>
      </c>
      <c r="C108" s="7" t="n">
        <v>17.2</v>
      </c>
      <c r="D108" s="7" t="n">
        <v>17.9</v>
      </c>
      <c r="E108" s="7" t="n">
        <v>14.7</v>
      </c>
    </row>
    <row r="109">
      <c r="A109" s="6" t="n">
        <v>105</v>
      </c>
      <c r="B109" s="7" t="n">
        <v>238.2</v>
      </c>
      <c r="C109" s="7" t="n">
        <v>34.3</v>
      </c>
      <c r="D109" s="7" t="n">
        <v>5.3</v>
      </c>
      <c r="E109" s="7" t="n">
        <v>20.7</v>
      </c>
    </row>
    <row r="110">
      <c r="A110" s="6" t="n">
        <v>106</v>
      </c>
      <c r="B110" s="7" t="n">
        <v>137.9</v>
      </c>
      <c r="C110" s="7" t="n">
        <v>46.4</v>
      </c>
      <c r="D110" s="7" t="n">
        <v>59</v>
      </c>
      <c r="E110" s="7" t="n">
        <v>19.2</v>
      </c>
    </row>
    <row r="111">
      <c r="A111" s="6" t="n">
        <v>107</v>
      </c>
      <c r="B111" s="7" t="n">
        <v>25</v>
      </c>
      <c r="C111" s="7" t="n">
        <v>11</v>
      </c>
      <c r="D111" s="7" t="n">
        <v>29.7</v>
      </c>
      <c r="E111" s="7" t="n">
        <v>7.2</v>
      </c>
    </row>
    <row r="112">
      <c r="A112" s="6" t="n">
        <v>108</v>
      </c>
      <c r="B112" s="7" t="n">
        <v>90.40000000000001</v>
      </c>
      <c r="C112" s="7" t="n">
        <v>0.3</v>
      </c>
      <c r="D112" s="7" t="n">
        <v>23.2</v>
      </c>
      <c r="E112" s="7" t="n">
        <v>8.699999999999999</v>
      </c>
    </row>
    <row r="113">
      <c r="A113" s="6" t="n">
        <v>109</v>
      </c>
      <c r="B113" s="7" t="n">
        <v>13.1</v>
      </c>
      <c r="C113" s="7" t="n">
        <v>0.4</v>
      </c>
      <c r="D113" s="7" t="n">
        <v>25.6</v>
      </c>
      <c r="E113" s="7" t="n">
        <v>5.3</v>
      </c>
    </row>
    <row r="114">
      <c r="A114" s="6" t="n">
        <v>110</v>
      </c>
      <c r="B114" s="7" t="n">
        <v>255.4</v>
      </c>
      <c r="C114" s="7" t="n">
        <v>26.9</v>
      </c>
      <c r="D114" s="7" t="n">
        <v>5.5</v>
      </c>
      <c r="E114" s="7" t="n">
        <v>19.8</v>
      </c>
    </row>
    <row r="115">
      <c r="A115" s="6" t="n">
        <v>111</v>
      </c>
      <c r="B115" s="7" t="n">
        <v>225.8</v>
      </c>
      <c r="C115" s="7" t="n">
        <v>8.199999999999999</v>
      </c>
      <c r="D115" s="7" t="n">
        <v>56.5</v>
      </c>
      <c r="E115" s="7" t="n">
        <v>13.4</v>
      </c>
    </row>
    <row r="116">
      <c r="A116" s="6" t="n">
        <v>112</v>
      </c>
      <c r="B116" s="7" t="n">
        <v>241.7</v>
      </c>
      <c r="C116" s="7" t="n">
        <v>38</v>
      </c>
      <c r="D116" s="7" t="n">
        <v>23.2</v>
      </c>
      <c r="E116" s="7" t="n">
        <v>21.8</v>
      </c>
    </row>
    <row r="117">
      <c r="A117" s="6" t="n">
        <v>113</v>
      </c>
      <c r="B117" s="7" t="n">
        <v>175.7</v>
      </c>
      <c r="C117" s="7" t="n">
        <v>15.4</v>
      </c>
      <c r="D117" s="7" t="n">
        <v>2.4</v>
      </c>
      <c r="E117" s="7" t="n">
        <v>14.1</v>
      </c>
    </row>
    <row r="118">
      <c r="A118" s="6" t="n">
        <v>114</v>
      </c>
      <c r="B118" s="7" t="n">
        <v>209.6</v>
      </c>
      <c r="C118" s="7" t="n">
        <v>20.6</v>
      </c>
      <c r="D118" s="7" t="n">
        <v>10.7</v>
      </c>
      <c r="E118" s="7" t="n">
        <v>15.9</v>
      </c>
    </row>
    <row r="119">
      <c r="A119" s="6" t="n">
        <v>115</v>
      </c>
      <c r="B119" s="7" t="n">
        <v>78.2</v>
      </c>
      <c r="C119" s="7" t="n">
        <v>46.8</v>
      </c>
      <c r="D119" s="7" t="n">
        <v>34.5</v>
      </c>
      <c r="E119" s="7" t="n">
        <v>14.6</v>
      </c>
    </row>
    <row r="120">
      <c r="A120" s="6" t="n">
        <v>116</v>
      </c>
      <c r="B120" s="7" t="n">
        <v>75.09999999999999</v>
      </c>
      <c r="C120" s="7" t="n">
        <v>35</v>
      </c>
      <c r="D120" s="7" t="n">
        <v>52.7</v>
      </c>
      <c r="E120" s="7" t="n">
        <v>12.6</v>
      </c>
    </row>
    <row r="121">
      <c r="A121" s="6" t="n">
        <v>117</v>
      </c>
      <c r="B121" s="7" t="n">
        <v>139.2</v>
      </c>
      <c r="C121" s="7" t="n">
        <v>14.3</v>
      </c>
      <c r="D121" s="7" t="n">
        <v>25.6</v>
      </c>
      <c r="E121" s="7" t="n">
        <v>12.2</v>
      </c>
    </row>
    <row r="122">
      <c r="A122" s="6" t="n">
        <v>118</v>
      </c>
      <c r="B122" s="7" t="n">
        <v>76.40000000000001</v>
      </c>
      <c r="C122" s="7" t="n">
        <v>0.8</v>
      </c>
      <c r="D122" s="7" t="n">
        <v>14.8</v>
      </c>
      <c r="E122" s="7" t="n">
        <v>9.4</v>
      </c>
    </row>
    <row r="123">
      <c r="A123" s="6" t="n">
        <v>119</v>
      </c>
      <c r="B123" s="7" t="n">
        <v>125.7</v>
      </c>
      <c r="C123" s="7" t="n">
        <v>36.9</v>
      </c>
      <c r="D123" s="7" t="n">
        <v>79.2</v>
      </c>
      <c r="E123" s="7" t="n">
        <v>15.9</v>
      </c>
    </row>
    <row r="124">
      <c r="A124" s="6" t="n">
        <v>120</v>
      </c>
      <c r="B124" s="7" t="n">
        <v>19.4</v>
      </c>
      <c r="C124" s="7" t="n">
        <v>16</v>
      </c>
      <c r="D124" s="7" t="n">
        <v>22.3</v>
      </c>
      <c r="E124" s="7" t="n">
        <v>6.6</v>
      </c>
    </row>
    <row r="125">
      <c r="A125" s="6" t="n">
        <v>121</v>
      </c>
      <c r="B125" s="7" t="n">
        <v>141.3</v>
      </c>
      <c r="C125" s="7" t="n">
        <v>26.8</v>
      </c>
      <c r="D125" s="7" t="n">
        <v>46.2</v>
      </c>
      <c r="E125" s="7" t="n">
        <v>15.5</v>
      </c>
    </row>
    <row r="126">
      <c r="A126" s="6" t="n">
        <v>122</v>
      </c>
      <c r="B126" s="7" t="n">
        <v>18.8</v>
      </c>
      <c r="C126" s="7" t="n">
        <v>21.7</v>
      </c>
      <c r="D126" s="7" t="n">
        <v>50.4</v>
      </c>
      <c r="E126" s="7" t="n">
        <v>7</v>
      </c>
    </row>
    <row r="127">
      <c r="A127" s="6" t="n">
        <v>123</v>
      </c>
      <c r="B127" s="7" t="n">
        <v>224</v>
      </c>
      <c r="C127" s="7" t="n">
        <v>2.4</v>
      </c>
      <c r="D127" s="7" t="n">
        <v>15.6</v>
      </c>
      <c r="E127" s="7" t="n">
        <v>11.6</v>
      </c>
    </row>
    <row r="128">
      <c r="A128" s="6" t="n">
        <v>124</v>
      </c>
      <c r="B128" s="7" t="n">
        <v>123.1</v>
      </c>
      <c r="C128" s="7" t="n">
        <v>34.6</v>
      </c>
      <c r="D128" s="7" t="n">
        <v>12.4</v>
      </c>
      <c r="E128" s="7" t="n">
        <v>15.2</v>
      </c>
    </row>
    <row r="129">
      <c r="A129" s="6" t="n">
        <v>125</v>
      </c>
      <c r="B129" s="7" t="n">
        <v>229.5</v>
      </c>
      <c r="C129" s="7" t="n">
        <v>32.3</v>
      </c>
      <c r="D129" s="7" t="n">
        <v>74.2</v>
      </c>
      <c r="E129" s="7" t="n">
        <v>19.7</v>
      </c>
    </row>
    <row r="130">
      <c r="A130" s="6" t="n">
        <v>126</v>
      </c>
      <c r="B130" s="7" t="n">
        <v>87.2</v>
      </c>
      <c r="C130" s="7" t="n">
        <v>11.8</v>
      </c>
      <c r="D130" s="7" t="n">
        <v>25.9</v>
      </c>
      <c r="E130" s="7" t="n">
        <v>10.6</v>
      </c>
    </row>
    <row r="131">
      <c r="A131" s="6" t="n">
        <v>127</v>
      </c>
      <c r="B131" s="7" t="n">
        <v>7.8</v>
      </c>
      <c r="C131" s="7" t="n">
        <v>38.9</v>
      </c>
      <c r="D131" s="7" t="n">
        <v>50.6</v>
      </c>
      <c r="E131" s="7" t="n">
        <v>6.6</v>
      </c>
    </row>
    <row r="132">
      <c r="A132" s="6" t="n">
        <v>128</v>
      </c>
      <c r="B132" s="7" t="n">
        <v>80.2</v>
      </c>
      <c r="C132" s="7" t="n">
        <v>0</v>
      </c>
      <c r="D132" s="7" t="n">
        <v>9.199999999999999</v>
      </c>
      <c r="E132" s="7" t="n">
        <v>8.800000000000001</v>
      </c>
    </row>
    <row r="133">
      <c r="A133" s="6" t="n">
        <v>129</v>
      </c>
      <c r="B133" s="7" t="n">
        <v>220.3</v>
      </c>
      <c r="C133" s="7" t="n">
        <v>49</v>
      </c>
      <c r="D133" s="7" t="n">
        <v>3.2</v>
      </c>
      <c r="E133" s="7" t="n">
        <v>24.7</v>
      </c>
    </row>
    <row r="134">
      <c r="A134" s="6" t="n">
        <v>130</v>
      </c>
      <c r="B134" s="7" t="n">
        <v>59.6</v>
      </c>
      <c r="C134" s="7" t="n">
        <v>12</v>
      </c>
      <c r="D134" s="7" t="n">
        <v>43.1</v>
      </c>
      <c r="E134" s="7" t="n">
        <v>9.699999999999999</v>
      </c>
    </row>
    <row r="135">
      <c r="A135" s="6" t="n">
        <v>131</v>
      </c>
      <c r="B135" s="7" t="n">
        <v>0.7</v>
      </c>
      <c r="C135" s="7" t="n">
        <v>39.6</v>
      </c>
      <c r="D135" s="7" t="n">
        <v>8.699999999999999</v>
      </c>
      <c r="E135" s="7" t="n">
        <v>1.6</v>
      </c>
    </row>
    <row r="136">
      <c r="A136" s="6" t="n">
        <v>132</v>
      </c>
      <c r="B136" s="7" t="n">
        <v>265.2</v>
      </c>
      <c r="C136" s="7" t="n">
        <v>2.9</v>
      </c>
      <c r="D136" s="7" t="n">
        <v>43</v>
      </c>
      <c r="E136" s="7" t="n">
        <v>12.7</v>
      </c>
    </row>
    <row r="137">
      <c r="A137" s="6" t="n">
        <v>133</v>
      </c>
      <c r="B137" s="7" t="n">
        <v>8.4</v>
      </c>
      <c r="C137" s="7" t="n">
        <v>27.2</v>
      </c>
      <c r="D137" s="7" t="n">
        <v>2.1</v>
      </c>
      <c r="E137" s="7" t="n">
        <v>5.7</v>
      </c>
    </row>
    <row r="138">
      <c r="A138" s="6" t="n">
        <v>134</v>
      </c>
      <c r="B138" s="7" t="n">
        <v>219.8</v>
      </c>
      <c r="C138" s="7" t="n">
        <v>33.5</v>
      </c>
      <c r="D138" s="7" t="n">
        <v>45.1</v>
      </c>
      <c r="E138" s="7" t="n">
        <v>19.6</v>
      </c>
    </row>
    <row r="139">
      <c r="A139" s="6" t="n">
        <v>135</v>
      </c>
      <c r="B139" s="7" t="n">
        <v>36.9</v>
      </c>
      <c r="C139" s="7" t="n">
        <v>38.6</v>
      </c>
      <c r="D139" s="7" t="n">
        <v>65.59999999999999</v>
      </c>
      <c r="E139" s="7" t="n">
        <v>10.8</v>
      </c>
    </row>
    <row r="140">
      <c r="A140" s="6" t="n">
        <v>136</v>
      </c>
      <c r="B140" s="7" t="n">
        <v>48.3</v>
      </c>
      <c r="C140" s="7" t="n">
        <v>47</v>
      </c>
      <c r="D140" s="7" t="n">
        <v>8.5</v>
      </c>
      <c r="E140" s="7" t="n">
        <v>11.6</v>
      </c>
    </row>
    <row r="141">
      <c r="A141" s="6" t="n">
        <v>137</v>
      </c>
      <c r="B141" s="7" t="n">
        <v>25.6</v>
      </c>
      <c r="C141" s="7" t="n">
        <v>39</v>
      </c>
      <c r="D141" s="7" t="n">
        <v>9.300000000000001</v>
      </c>
      <c r="E141" s="7" t="n">
        <v>9.5</v>
      </c>
    </row>
    <row r="142">
      <c r="A142" s="6" t="n">
        <v>138</v>
      </c>
      <c r="B142" s="7" t="n">
        <v>273.7</v>
      </c>
      <c r="C142" s="7" t="n">
        <v>28.9</v>
      </c>
      <c r="D142" s="7" t="n">
        <v>59.7</v>
      </c>
      <c r="E142" s="7" t="n">
        <v>20.8</v>
      </c>
    </row>
    <row r="143">
      <c r="A143" s="6" t="n">
        <v>139</v>
      </c>
      <c r="B143" s="7" t="n">
        <v>43</v>
      </c>
      <c r="C143" s="7" t="n">
        <v>25.9</v>
      </c>
      <c r="D143" s="7" t="n">
        <v>20.5</v>
      </c>
      <c r="E143" s="7" t="n">
        <v>9.6</v>
      </c>
    </row>
    <row r="144">
      <c r="A144" s="6" t="n">
        <v>140</v>
      </c>
      <c r="B144" s="7" t="n">
        <v>184.9</v>
      </c>
      <c r="C144" s="7" t="n">
        <v>43.9</v>
      </c>
      <c r="D144" s="7" t="n">
        <v>1.7</v>
      </c>
      <c r="E144" s="7" t="n">
        <v>20.7</v>
      </c>
    </row>
    <row r="145">
      <c r="A145" s="6" t="n">
        <v>141</v>
      </c>
      <c r="B145" s="7" t="n">
        <v>73.40000000000001</v>
      </c>
      <c r="C145" s="7" t="n">
        <v>17</v>
      </c>
      <c r="D145" s="7" t="n">
        <v>12.9</v>
      </c>
      <c r="E145" s="7" t="n">
        <v>10.9</v>
      </c>
    </row>
    <row r="146">
      <c r="A146" s="6" t="n">
        <v>142</v>
      </c>
      <c r="B146" s="7" t="n">
        <v>193.7</v>
      </c>
      <c r="C146" s="7" t="n">
        <v>35.4</v>
      </c>
      <c r="D146" s="7" t="n">
        <v>75.59999999999999</v>
      </c>
      <c r="E146" s="7" t="n">
        <v>19.2</v>
      </c>
    </row>
    <row r="147">
      <c r="A147" s="6" t="n">
        <v>143</v>
      </c>
      <c r="B147" s="7" t="n">
        <v>220.5</v>
      </c>
      <c r="C147" s="7" t="n">
        <v>33.2</v>
      </c>
      <c r="D147" s="7" t="n">
        <v>37.9</v>
      </c>
      <c r="E147" s="7" t="n">
        <v>20.1</v>
      </c>
    </row>
    <row r="148">
      <c r="A148" s="6" t="n">
        <v>144</v>
      </c>
      <c r="B148" s="7" t="n">
        <v>104.6</v>
      </c>
      <c r="C148" s="7" t="n">
        <v>5.7</v>
      </c>
      <c r="D148" s="7" t="n">
        <v>34.4</v>
      </c>
      <c r="E148" s="7" t="n">
        <v>10.4</v>
      </c>
    </row>
    <row r="149">
      <c r="A149" s="6" t="n">
        <v>145</v>
      </c>
      <c r="B149" s="7" t="n">
        <v>96.2</v>
      </c>
      <c r="C149" s="7" t="n">
        <v>14.8</v>
      </c>
      <c r="D149" s="7" t="n">
        <v>38.9</v>
      </c>
      <c r="E149" s="7" t="n">
        <v>11.4</v>
      </c>
    </row>
    <row r="150">
      <c r="A150" s="6" t="n">
        <v>146</v>
      </c>
      <c r="B150" s="7" t="n">
        <v>140.3</v>
      </c>
      <c r="C150" s="7" t="n">
        <v>1.9</v>
      </c>
      <c r="D150" s="7" t="n">
        <v>9</v>
      </c>
      <c r="E150" s="7" t="n">
        <v>10.3</v>
      </c>
    </row>
    <row r="151">
      <c r="A151" s="6" t="n">
        <v>147</v>
      </c>
      <c r="B151" s="7" t="n">
        <v>240.1</v>
      </c>
      <c r="C151" s="7" t="n">
        <v>7.3</v>
      </c>
      <c r="D151" s="7" t="n">
        <v>8.699999999999999</v>
      </c>
      <c r="E151" s="7" t="n">
        <v>13.2</v>
      </c>
    </row>
    <row r="152">
      <c r="A152" s="6" t="n">
        <v>148</v>
      </c>
      <c r="B152" s="7" t="n">
        <v>243.2</v>
      </c>
      <c r="C152" s="7" t="n">
        <v>49</v>
      </c>
      <c r="D152" s="7" t="n">
        <v>44.3</v>
      </c>
      <c r="E152" s="7" t="n">
        <v>25.4</v>
      </c>
    </row>
    <row r="153">
      <c r="A153" s="6" t="n">
        <v>149</v>
      </c>
      <c r="B153" s="7" t="n">
        <v>38</v>
      </c>
      <c r="C153" s="7" t="n">
        <v>40.3</v>
      </c>
      <c r="D153" s="7" t="n">
        <v>11.9</v>
      </c>
      <c r="E153" s="7" t="n">
        <v>10.9</v>
      </c>
    </row>
    <row r="154">
      <c r="A154" s="6" t="n">
        <v>150</v>
      </c>
      <c r="B154" s="7" t="n">
        <v>44.7</v>
      </c>
      <c r="C154" s="7" t="n">
        <v>25.8</v>
      </c>
      <c r="D154" s="7" t="n">
        <v>20.6</v>
      </c>
      <c r="E154" s="7" t="n">
        <v>10.1</v>
      </c>
    </row>
    <row r="155">
      <c r="A155" s="6" t="n">
        <v>151</v>
      </c>
      <c r="B155" s="7" t="n">
        <v>280.7</v>
      </c>
      <c r="C155" s="7" t="n">
        <v>13.9</v>
      </c>
      <c r="D155" s="7" t="n">
        <v>37</v>
      </c>
      <c r="E155" s="7" t="n">
        <v>16.1</v>
      </c>
    </row>
    <row r="156">
      <c r="A156" s="6" t="n">
        <v>152</v>
      </c>
      <c r="B156" s="7" t="n">
        <v>121</v>
      </c>
      <c r="C156" s="7" t="n">
        <v>8.4</v>
      </c>
      <c r="D156" s="7" t="n">
        <v>48.7</v>
      </c>
      <c r="E156" s="7" t="n">
        <v>11.6</v>
      </c>
    </row>
    <row r="157">
      <c r="A157" s="6" t="n">
        <v>153</v>
      </c>
      <c r="B157" s="7" t="n">
        <v>197.6</v>
      </c>
      <c r="C157" s="7" t="n">
        <v>23.3</v>
      </c>
      <c r="D157" s="7" t="n">
        <v>14.2</v>
      </c>
      <c r="E157" s="7" t="n">
        <v>16.6</v>
      </c>
    </row>
    <row r="158">
      <c r="A158" s="6" t="n">
        <v>154</v>
      </c>
      <c r="B158" s="7" t="n">
        <v>171.3</v>
      </c>
      <c r="C158" s="7" t="n">
        <v>39.7</v>
      </c>
      <c r="D158" s="7" t="n">
        <v>37.7</v>
      </c>
      <c r="E158" s="7" t="n">
        <v>19</v>
      </c>
    </row>
    <row r="159">
      <c r="A159" s="6" t="n">
        <v>155</v>
      </c>
      <c r="B159" s="7" t="n">
        <v>187.8</v>
      </c>
      <c r="C159" s="7" t="n">
        <v>21.1</v>
      </c>
      <c r="D159" s="7" t="n">
        <v>9.5</v>
      </c>
      <c r="E159" s="7" t="n">
        <v>15.6</v>
      </c>
    </row>
    <row r="160">
      <c r="A160" s="6" t="n">
        <v>156</v>
      </c>
      <c r="B160" s="7" t="n">
        <v>4.1</v>
      </c>
      <c r="C160" s="7" t="n">
        <v>11.6</v>
      </c>
      <c r="D160" s="7" t="n">
        <v>5.7</v>
      </c>
      <c r="E160" s="7" t="n">
        <v>3.2</v>
      </c>
    </row>
    <row r="161">
      <c r="A161" s="6" t="n">
        <v>157</v>
      </c>
      <c r="B161" s="7" t="n">
        <v>93.90000000000001</v>
      </c>
      <c r="C161" s="7" t="n">
        <v>43.5</v>
      </c>
      <c r="D161" s="7" t="n">
        <v>50.5</v>
      </c>
      <c r="E161" s="7" t="n">
        <v>15.3</v>
      </c>
    </row>
    <row r="162">
      <c r="A162" s="6" t="n">
        <v>158</v>
      </c>
      <c r="B162" s="7" t="n">
        <v>149.8</v>
      </c>
      <c r="C162" s="7" t="n">
        <v>1.3</v>
      </c>
      <c r="D162" s="7" t="n">
        <v>24.3</v>
      </c>
      <c r="E162" s="7" t="n">
        <v>10.1</v>
      </c>
    </row>
    <row r="163">
      <c r="A163" s="6" t="n">
        <v>159</v>
      </c>
      <c r="B163" s="7" t="n">
        <v>11.7</v>
      </c>
      <c r="C163" s="7" t="n">
        <v>36.9</v>
      </c>
      <c r="D163" s="7" t="n">
        <v>45.2</v>
      </c>
      <c r="E163" s="7" t="n">
        <v>7.3</v>
      </c>
    </row>
    <row r="164">
      <c r="A164" s="6" t="n">
        <v>160</v>
      </c>
      <c r="B164" s="7" t="n">
        <v>131.7</v>
      </c>
      <c r="C164" s="7" t="n">
        <v>18.4</v>
      </c>
      <c r="D164" s="7" t="n">
        <v>34.6</v>
      </c>
      <c r="E164" s="7" t="n">
        <v>12.9</v>
      </c>
    </row>
    <row r="165">
      <c r="A165" s="6" t="n">
        <v>161</v>
      </c>
      <c r="B165" s="7" t="n">
        <v>172.5</v>
      </c>
      <c r="C165" s="7" t="n">
        <v>18.1</v>
      </c>
      <c r="D165" s="7" t="n">
        <v>30.7</v>
      </c>
      <c r="E165" s="7" t="n">
        <v>14.4</v>
      </c>
    </row>
    <row r="166">
      <c r="A166" s="6" t="n">
        <v>162</v>
      </c>
      <c r="B166" s="7" t="n">
        <v>85.7</v>
      </c>
      <c r="C166" s="7" t="n">
        <v>35.8</v>
      </c>
      <c r="D166" s="7" t="n">
        <v>49.3</v>
      </c>
      <c r="E166" s="7" t="n">
        <v>13.3</v>
      </c>
    </row>
    <row r="167">
      <c r="A167" s="6" t="n">
        <v>163</v>
      </c>
      <c r="B167" s="7" t="n">
        <v>188.4</v>
      </c>
      <c r="C167" s="7" t="n">
        <v>18.1</v>
      </c>
      <c r="D167" s="7" t="n">
        <v>25.6</v>
      </c>
      <c r="E167" s="7" t="n">
        <v>14.9</v>
      </c>
    </row>
    <row r="168">
      <c r="A168" s="6" t="n">
        <v>164</v>
      </c>
      <c r="B168" s="7" t="n">
        <v>163.5</v>
      </c>
      <c r="C168" s="7" t="n">
        <v>36.8</v>
      </c>
      <c r="D168" s="7" t="n">
        <v>7.4</v>
      </c>
      <c r="E168" s="7" t="n">
        <v>18</v>
      </c>
    </row>
    <row r="169">
      <c r="A169" s="6" t="n">
        <v>165</v>
      </c>
      <c r="B169" s="7" t="n">
        <v>117.2</v>
      </c>
      <c r="C169" s="7" t="n">
        <v>14.7</v>
      </c>
      <c r="D169" s="7" t="n">
        <v>5.4</v>
      </c>
      <c r="E169" s="7" t="n">
        <v>11.9</v>
      </c>
    </row>
    <row r="170">
      <c r="A170" s="6" t="n">
        <v>166</v>
      </c>
      <c r="B170" s="7" t="n">
        <v>234.5</v>
      </c>
      <c r="C170" s="7" t="n">
        <v>3.4</v>
      </c>
      <c r="D170" s="7" t="n">
        <v>84.8</v>
      </c>
      <c r="E170" s="7" t="n">
        <v>11.9</v>
      </c>
    </row>
    <row r="171">
      <c r="A171" s="6" t="n">
        <v>167</v>
      </c>
      <c r="B171" s="7" t="n">
        <v>17.9</v>
      </c>
      <c r="C171" s="7" t="n">
        <v>37.6</v>
      </c>
      <c r="D171" s="7" t="n">
        <v>21.6</v>
      </c>
      <c r="E171" s="7" t="n">
        <v>8</v>
      </c>
    </row>
    <row r="172">
      <c r="A172" s="6" t="n">
        <v>168</v>
      </c>
      <c r="B172" s="7" t="n">
        <v>206.8</v>
      </c>
      <c r="C172" s="7" t="n">
        <v>5.2</v>
      </c>
      <c r="D172" s="7" t="n">
        <v>19.4</v>
      </c>
      <c r="E172" s="7" t="n">
        <v>12.2</v>
      </c>
    </row>
    <row r="173">
      <c r="A173" s="6" t="n">
        <v>169</v>
      </c>
      <c r="B173" s="7" t="n">
        <v>215.4</v>
      </c>
      <c r="C173" s="7" t="n">
        <v>23.6</v>
      </c>
      <c r="D173" s="7" t="n">
        <v>57.6</v>
      </c>
      <c r="E173" s="7" t="n">
        <v>17.1</v>
      </c>
    </row>
    <row r="174">
      <c r="A174" s="6" t="n">
        <v>170</v>
      </c>
      <c r="B174" s="7" t="n">
        <v>284.3</v>
      </c>
      <c r="C174" s="7" t="n">
        <v>10.6</v>
      </c>
      <c r="D174" s="7" t="n">
        <v>6.4</v>
      </c>
      <c r="E174" s="7" t="n">
        <v>15</v>
      </c>
    </row>
    <row r="175">
      <c r="A175" s="6" t="n">
        <v>171</v>
      </c>
      <c r="B175" s="7" t="n">
        <v>50</v>
      </c>
      <c r="C175" s="7" t="n">
        <v>11.6</v>
      </c>
      <c r="D175" s="7" t="n">
        <v>18.4</v>
      </c>
      <c r="E175" s="7" t="n">
        <v>8.4</v>
      </c>
    </row>
    <row r="176">
      <c r="A176" s="6" t="n">
        <v>172</v>
      </c>
      <c r="B176" s="7" t="n">
        <v>164.5</v>
      </c>
      <c r="C176" s="7" t="n">
        <v>20.9</v>
      </c>
      <c r="D176" s="7" t="n">
        <v>47.4</v>
      </c>
      <c r="E176" s="7" t="n">
        <v>14.5</v>
      </c>
    </row>
    <row r="177">
      <c r="A177" s="6" t="n">
        <v>173</v>
      </c>
      <c r="B177" s="7" t="n">
        <v>19.6</v>
      </c>
      <c r="C177" s="7" t="n">
        <v>20.1</v>
      </c>
      <c r="D177" s="7" t="n">
        <v>17</v>
      </c>
      <c r="E177" s="7" t="n">
        <v>7.6</v>
      </c>
    </row>
    <row r="178">
      <c r="A178" s="6" t="n">
        <v>174</v>
      </c>
      <c r="B178" s="7" t="n">
        <v>168.4</v>
      </c>
      <c r="C178" s="7" t="n">
        <v>7.1</v>
      </c>
      <c r="D178" s="7" t="n">
        <v>12.8</v>
      </c>
      <c r="E178" s="7" t="n">
        <v>11.7</v>
      </c>
    </row>
    <row r="179">
      <c r="A179" s="6" t="n">
        <v>175</v>
      </c>
      <c r="B179" s="7" t="n">
        <v>222.4</v>
      </c>
      <c r="C179" s="7" t="n">
        <v>3.4</v>
      </c>
      <c r="D179" s="7" t="n">
        <v>13.1</v>
      </c>
      <c r="E179" s="7" t="n">
        <v>11.5</v>
      </c>
    </row>
    <row r="180">
      <c r="A180" s="6" t="n">
        <v>176</v>
      </c>
      <c r="B180" s="7" t="n">
        <v>276.9</v>
      </c>
      <c r="C180" s="7" t="n">
        <v>48.9</v>
      </c>
      <c r="D180" s="7" t="n">
        <v>41.8</v>
      </c>
      <c r="E180" s="7" t="n">
        <v>27</v>
      </c>
    </row>
    <row r="181">
      <c r="A181" s="6" t="n">
        <v>177</v>
      </c>
      <c r="B181" s="7" t="n">
        <v>248.4</v>
      </c>
      <c r="C181" s="7" t="n">
        <v>30.2</v>
      </c>
      <c r="D181" s="7" t="n">
        <v>20.3</v>
      </c>
      <c r="E181" s="7" t="n">
        <v>20.2</v>
      </c>
    </row>
    <row r="182">
      <c r="A182" s="6" t="n">
        <v>178</v>
      </c>
      <c r="B182" s="7" t="n">
        <v>170.2</v>
      </c>
      <c r="C182" s="7" t="n">
        <v>7.8</v>
      </c>
      <c r="D182" s="7" t="n">
        <v>35.2</v>
      </c>
      <c r="E182" s="7" t="n">
        <v>11.7</v>
      </c>
    </row>
    <row r="183">
      <c r="A183" s="6" t="n">
        <v>179</v>
      </c>
      <c r="B183" s="7" t="n">
        <v>276.7</v>
      </c>
      <c r="C183" s="7" t="n">
        <v>2.3</v>
      </c>
      <c r="D183" s="7" t="n">
        <v>23.7</v>
      </c>
      <c r="E183" s="7" t="n">
        <v>11.8</v>
      </c>
    </row>
    <row r="184">
      <c r="A184" s="6" t="n">
        <v>180</v>
      </c>
      <c r="B184" s="7" t="n">
        <v>165.6</v>
      </c>
      <c r="C184" s="7" t="n">
        <v>10</v>
      </c>
      <c r="D184" s="7" t="n">
        <v>17.6</v>
      </c>
      <c r="E184" s="7" t="n">
        <v>12.6</v>
      </c>
    </row>
    <row r="185">
      <c r="A185" s="6" t="n">
        <v>181</v>
      </c>
      <c r="B185" s="7" t="n">
        <v>156.6</v>
      </c>
      <c r="C185" s="7" t="n">
        <v>2.6</v>
      </c>
      <c r="D185" s="7" t="n">
        <v>8.300000000000001</v>
      </c>
      <c r="E185" s="7" t="n">
        <v>10.5</v>
      </c>
    </row>
    <row r="186">
      <c r="A186" s="6" t="n">
        <v>182</v>
      </c>
      <c r="B186" s="7" t="n">
        <v>218.5</v>
      </c>
      <c r="C186" s="7" t="n">
        <v>5.4</v>
      </c>
      <c r="D186" s="7" t="n">
        <v>27.4</v>
      </c>
      <c r="E186" s="7" t="n">
        <v>12.2</v>
      </c>
    </row>
    <row r="187">
      <c r="A187" s="6" t="n">
        <v>183</v>
      </c>
      <c r="B187" s="7" t="n">
        <v>56.2</v>
      </c>
      <c r="C187" s="7" t="n">
        <v>5.7</v>
      </c>
      <c r="D187" s="7" t="n">
        <v>29.7</v>
      </c>
      <c r="E187" s="7" t="n">
        <v>8.699999999999999</v>
      </c>
    </row>
    <row r="188">
      <c r="A188" s="6" t="n">
        <v>184</v>
      </c>
      <c r="B188" s="7" t="n">
        <v>287.6</v>
      </c>
      <c r="C188" s="7" t="n">
        <v>43</v>
      </c>
      <c r="D188" s="7" t="n">
        <v>71.8</v>
      </c>
      <c r="E188" s="7" t="n">
        <v>26.2</v>
      </c>
    </row>
    <row r="189">
      <c r="A189" s="6" t="n">
        <v>185</v>
      </c>
      <c r="B189" s="7" t="n">
        <v>253.8</v>
      </c>
      <c r="C189" s="7" t="n">
        <v>21.3</v>
      </c>
      <c r="D189" s="7" t="n">
        <v>30</v>
      </c>
      <c r="E189" s="7" t="n">
        <v>17.6</v>
      </c>
    </row>
    <row r="190">
      <c r="A190" s="6" t="n">
        <v>186</v>
      </c>
      <c r="B190" s="7" t="n">
        <v>205</v>
      </c>
      <c r="C190" s="7" t="n">
        <v>45.1</v>
      </c>
      <c r="D190" s="7" t="n">
        <v>19.6</v>
      </c>
      <c r="E190" s="7" t="n">
        <v>22.6</v>
      </c>
    </row>
    <row r="191">
      <c r="A191" s="6" t="n">
        <v>187</v>
      </c>
      <c r="B191" s="7" t="n">
        <v>139.5</v>
      </c>
      <c r="C191" s="7" t="n">
        <v>2.1</v>
      </c>
      <c r="D191" s="7" t="n">
        <v>26.6</v>
      </c>
      <c r="E191" s="7" t="n">
        <v>10.3</v>
      </c>
    </row>
    <row r="192">
      <c r="A192" s="6" t="n">
        <v>188</v>
      </c>
      <c r="B192" s="7" t="n">
        <v>191.1</v>
      </c>
      <c r="C192" s="7" t="n">
        <v>28.7</v>
      </c>
      <c r="D192" s="7" t="n">
        <v>18.2</v>
      </c>
      <c r="E192" s="7" t="n">
        <v>17.3</v>
      </c>
    </row>
    <row r="193">
      <c r="A193" s="6" t="n">
        <v>189</v>
      </c>
      <c r="B193" s="7" t="n">
        <v>286</v>
      </c>
      <c r="C193" s="7" t="n">
        <v>13.9</v>
      </c>
      <c r="D193" s="7" t="n">
        <v>3.7</v>
      </c>
      <c r="E193" s="7" t="n">
        <v>15.9</v>
      </c>
    </row>
    <row r="194">
      <c r="A194" s="6" t="n">
        <v>190</v>
      </c>
      <c r="B194" s="7" t="n">
        <v>18.7</v>
      </c>
      <c r="C194" s="7" t="n">
        <v>12.1</v>
      </c>
      <c r="D194" s="7" t="n">
        <v>23.4</v>
      </c>
      <c r="E194" s="7" t="n">
        <v>6.7</v>
      </c>
    </row>
    <row r="195">
      <c r="A195" s="6" t="n">
        <v>191</v>
      </c>
      <c r="B195" s="7" t="n">
        <v>39.5</v>
      </c>
      <c r="C195" s="7" t="n">
        <v>41.1</v>
      </c>
      <c r="D195" s="7" t="n">
        <v>5.8</v>
      </c>
      <c r="E195" s="7" t="n">
        <v>10.8</v>
      </c>
    </row>
    <row r="196">
      <c r="A196" s="6" t="n">
        <v>192</v>
      </c>
      <c r="B196" s="7" t="n">
        <v>75.5</v>
      </c>
      <c r="C196" s="7" t="n">
        <v>10.8</v>
      </c>
      <c r="D196" s="7" t="n">
        <v>6</v>
      </c>
      <c r="E196" s="7" t="n">
        <v>9.9</v>
      </c>
    </row>
    <row r="197">
      <c r="A197" s="6" t="n">
        <v>193</v>
      </c>
      <c r="B197" s="7" t="n">
        <v>17.2</v>
      </c>
      <c r="C197" s="7" t="n">
        <v>4.1</v>
      </c>
      <c r="D197" s="7" t="n">
        <v>31.6</v>
      </c>
      <c r="E197" s="7" t="n">
        <v>5.9</v>
      </c>
    </row>
    <row r="198">
      <c r="A198" s="6" t="n">
        <v>194</v>
      </c>
      <c r="B198" s="7" t="n">
        <v>166.8</v>
      </c>
      <c r="C198" s="7" t="n">
        <v>42</v>
      </c>
      <c r="D198" s="7" t="n">
        <v>3.6</v>
      </c>
      <c r="E198" s="7" t="n">
        <v>19.6</v>
      </c>
    </row>
    <row r="199">
      <c r="A199" s="6" t="n">
        <v>195</v>
      </c>
      <c r="B199" s="7" t="n">
        <v>149.7</v>
      </c>
      <c r="C199" s="7" t="n">
        <v>35.6</v>
      </c>
      <c r="D199" s="7" t="n">
        <v>6</v>
      </c>
      <c r="E199" s="7" t="n">
        <v>17.3</v>
      </c>
    </row>
    <row r="200">
      <c r="A200" s="6" t="n">
        <v>196</v>
      </c>
      <c r="B200" s="7" t="n">
        <v>38.2</v>
      </c>
      <c r="C200" s="7" t="n">
        <v>3.7</v>
      </c>
      <c r="D200" s="7" t="n">
        <v>13.8</v>
      </c>
      <c r="E200" s="7" t="n">
        <v>7.6</v>
      </c>
    </row>
    <row r="201">
      <c r="A201" s="6" t="n">
        <v>197</v>
      </c>
      <c r="B201" s="7" t="n">
        <v>94.2</v>
      </c>
      <c r="C201" s="7" t="n">
        <v>4.9</v>
      </c>
      <c r="D201" s="7" t="n">
        <v>8.1</v>
      </c>
      <c r="E201" s="7" t="n">
        <v>9.699999999999999</v>
      </c>
    </row>
    <row r="202">
      <c r="A202" s="6" t="n">
        <v>198</v>
      </c>
      <c r="B202" s="7" t="n">
        <v>177</v>
      </c>
      <c r="C202" s="7" t="n">
        <v>9.300000000000001</v>
      </c>
      <c r="D202" s="7" t="n">
        <v>6.4</v>
      </c>
      <c r="E202" s="7" t="n">
        <v>12.8</v>
      </c>
    </row>
    <row r="203">
      <c r="A203" s="6" t="n">
        <v>199</v>
      </c>
      <c r="B203" s="7" t="n">
        <v>283.6</v>
      </c>
      <c r="C203" s="7" t="n">
        <v>42</v>
      </c>
      <c r="D203" s="7" t="n">
        <v>66.2</v>
      </c>
      <c r="E203" s="7" t="n">
        <v>25.5</v>
      </c>
    </row>
    <row r="204">
      <c r="A204" s="6" t="n">
        <v>200</v>
      </c>
      <c r="B204" s="7" t="n">
        <v>232.1</v>
      </c>
      <c r="C204" s="7" t="n">
        <v>8.6</v>
      </c>
      <c r="D204" s="7" t="n">
        <v>8.699999999999999</v>
      </c>
      <c r="E204" s="7" t="n">
        <v>13.4</v>
      </c>
    </row>
  </sheetData>
  <autoFilter ref="A4:E204"/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T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17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30" customHeight="1">
      <c r="A1" s="1" t="inlineStr">
        <is>
          <t>Working Data | Auditable Analytical Dataset</t>
        </is>
      </c>
    </row>
    <row r="2">
      <c r="A2" s="24" t="inlineStr">
        <is>
          <t>Analysis-ready fields calculated from the source data.</t>
        </is>
      </c>
    </row>
    <row r="3"/>
    <row r="4">
      <c r="A4" s="5" t="inlineStr">
        <is>
          <t>market_number</t>
        </is>
      </c>
      <c r="B4" s="5" t="inlineStr">
        <is>
          <t>tv_ads</t>
        </is>
      </c>
      <c r="C4" s="5" t="inlineStr">
        <is>
          <t>social_media_ads</t>
        </is>
      </c>
      <c r="D4" s="5" t="inlineStr">
        <is>
          <t>print_ads</t>
        </is>
      </c>
      <c r="E4" s="5" t="inlineStr">
        <is>
          <t>sales</t>
        </is>
      </c>
      <c r="F4" s="5" t="inlineStr">
        <is>
          <t>total_ads</t>
        </is>
      </c>
      <c r="G4" s="5" t="inlineStr">
        <is>
          <t>TV spend share</t>
        </is>
      </c>
      <c r="H4" s="5" t="inlineStr">
        <is>
          <t>Social media spend share</t>
        </is>
      </c>
      <c r="I4" s="5" t="inlineStr">
        <is>
          <t>Print spend share</t>
        </is>
      </c>
      <c r="J4" s="5" t="inlineStr">
        <is>
          <t>Sales / total ad spend</t>
        </is>
      </c>
      <c r="K4" s="5" t="inlineStr">
        <is>
          <t>TV z-score</t>
        </is>
      </c>
      <c r="L4" s="5" t="inlineStr">
        <is>
          <t>Social media z-score</t>
        </is>
      </c>
      <c r="M4" s="5" t="inlineStr">
        <is>
          <t>Print z-score</t>
        </is>
      </c>
      <c r="N4" s="5" t="inlineStr">
        <is>
          <t>Sales z-score</t>
        </is>
      </c>
      <c r="O4" s="5" t="inlineStr">
        <is>
          <t>Total ad spend z-score</t>
        </is>
      </c>
      <c r="P4" s="5" t="inlineStr">
        <is>
          <t>TV IQR flag</t>
        </is>
      </c>
      <c r="Q4" s="5" t="inlineStr">
        <is>
          <t>social_outlier_iqr</t>
        </is>
      </c>
      <c r="R4" s="5" t="inlineStr">
        <is>
          <t>Print IQR flag</t>
        </is>
      </c>
      <c r="S4" s="5" t="inlineStr">
        <is>
          <t>Sales IQR flag</t>
        </is>
      </c>
      <c r="T4" s="5" t="inlineStr">
        <is>
          <t>Row review status</t>
        </is>
      </c>
    </row>
    <row r="5">
      <c r="A5" s="6">
        <f>Raw_Data!A5</f>
        <v/>
      </c>
      <c r="B5" s="7">
        <f>Raw_Data!B5</f>
        <v/>
      </c>
      <c r="C5" s="7">
        <f>Raw_Data!C5</f>
        <v/>
      </c>
      <c r="D5" s="7">
        <f>Raw_Data!D5</f>
        <v/>
      </c>
      <c r="E5" s="7">
        <f>Raw_Data!E5</f>
        <v/>
      </c>
      <c r="F5" s="7">
        <f>SUM(B5:D5)</f>
        <v/>
      </c>
      <c r="G5" s="8">
        <f>IFERROR(B5/F5,0)</f>
        <v/>
      </c>
      <c r="H5" s="8">
        <f>IFERROR(C5/F5,0)</f>
        <v/>
      </c>
      <c r="I5" s="8">
        <f>IFERROR(D5/F5,0)</f>
        <v/>
      </c>
      <c r="J5" s="9">
        <f>IFERROR(E5/F5,0)</f>
        <v/>
      </c>
      <c r="K5" s="9">
        <f>IFERROR((B5-AVERAGE($B$5:$B$204))/STDEV($B$5:$B$204),0)</f>
        <v/>
      </c>
      <c r="L5" s="9">
        <f>IFERROR((C5-AVERAGE($C$5:$C$204))/STDEV($C$5:$C$204),0)</f>
        <v/>
      </c>
      <c r="M5" s="9">
        <f>IFERROR((D5-AVERAGE($D$5:$D$204))/STDEV($D$5:$D$204),0)</f>
        <v/>
      </c>
      <c r="N5" s="9">
        <f>IFERROR((E5-AVERAGE($E$5:$E$204))/STDEV($E$5:$E$204),0)</f>
        <v/>
      </c>
      <c r="O5" s="9">
        <f>IFERROR((F5-AVERAGE($F$5:$F$204))/STDEV($F$5:$F$204),0)</f>
        <v/>
      </c>
      <c r="P5" s="6">
        <f>IF(OR(B5&lt;QUARTILE($B$5:$B$204,1)-1.5*(QUARTILE($B$5:$B$204,3)-QUARTILE($B$5:$B$204,1)),B5&gt;QUARTILE($B$5:$B$204,3)+1.5*(QUARTILE($B$5:$B$204,3)-QUARTILE($B$5:$B$204,1))),"Review","Within range")</f>
        <v/>
      </c>
      <c r="Q5" s="6">
        <f>IF(OR(C5&lt;QUARTILE($C$5:$C$204,1)-1.5*(QUARTILE($C$5:$C$204,3)-QUARTILE($C$5:$C$204,1)),C5&gt;QUARTILE($C$5:$C$204,3)+1.5*(QUARTILE($C$5:$C$204,3)-QUARTILE($C$5:$C$204,1))),"Review","Within range")</f>
        <v/>
      </c>
      <c r="R5" s="6">
        <f>IF(OR(D5&lt;QUARTILE($D$5:$D$204,1)-1.5*(QUARTILE($D$5:$D$204,3)-QUARTILE($D$5:$D$204,1)),D5&gt;QUARTILE($D$5:$D$204,3)+1.5*(QUARTILE($D$5:$D$204,3)-QUARTILE($D$5:$D$204,1))),"Review","Within range")</f>
        <v/>
      </c>
      <c r="S5" s="6">
        <f>IF(OR(E5&lt;QUARTILE($E$5:$E$204,1)-1.5*(QUARTILE($E$5:$E$204,3)-QUARTILE($E$5:$E$204,1)),E5&gt;QUARTILE($E$5:$E$204,3)+1.5*(QUARTILE($E$5:$E$204,3)-QUARTILE($E$5:$E$204,1))),"Review","Within range")</f>
        <v/>
      </c>
      <c r="T5" s="6">
        <f>IF(COUNTBLANK(A5:E5)&gt;0,"Missing value",IF(COUNTIF(B5:E5,"&lt;0")&gt;0,"Negative value",IF(COUNTIF($A$5:$A$204,A5)&gt;1,"Duplicate market ID",IF(OR(P5="Review",Q5="Review",R5="Review",S5="Review"),"Review outlier","OK"))))</f>
        <v/>
      </c>
    </row>
    <row r="6">
      <c r="A6" s="6">
        <f>Raw_Data!A6</f>
        <v/>
      </c>
      <c r="B6" s="7">
        <f>Raw_Data!B6</f>
        <v/>
      </c>
      <c r="C6" s="7">
        <f>Raw_Data!C6</f>
        <v/>
      </c>
      <c r="D6" s="7">
        <f>Raw_Data!D6</f>
        <v/>
      </c>
      <c r="E6" s="7">
        <f>Raw_Data!E6</f>
        <v/>
      </c>
      <c r="F6" s="7">
        <f>SUM(B6:D6)</f>
        <v/>
      </c>
      <c r="G6" s="8">
        <f>IFERROR(B6/F6,0)</f>
        <v/>
      </c>
      <c r="H6" s="8">
        <f>IFERROR(C6/F6,0)</f>
        <v/>
      </c>
      <c r="I6" s="8">
        <f>IFERROR(D6/F6,0)</f>
        <v/>
      </c>
      <c r="J6" s="9">
        <f>IFERROR(E6/F6,0)</f>
        <v/>
      </c>
      <c r="K6" s="9">
        <f>IFERROR((B6-AVERAGE($B$5:$B$204))/STDEV($B$5:$B$204),0)</f>
        <v/>
      </c>
      <c r="L6" s="9">
        <f>IFERROR((C6-AVERAGE($C$5:$C$204))/STDEV($C$5:$C$204),0)</f>
        <v/>
      </c>
      <c r="M6" s="9">
        <f>IFERROR((D6-AVERAGE($D$5:$D$204))/STDEV($D$5:$D$204),0)</f>
        <v/>
      </c>
      <c r="N6" s="9">
        <f>IFERROR((E6-AVERAGE($E$5:$E$204))/STDEV($E$5:$E$204),0)</f>
        <v/>
      </c>
      <c r="O6" s="9">
        <f>IFERROR((F6-AVERAGE($F$5:$F$204))/STDEV($F$5:$F$204),0)</f>
        <v/>
      </c>
      <c r="P6" s="6">
        <f>IF(OR(B6&lt;QUARTILE($B$5:$B$204,1)-1.5*(QUARTILE($B$5:$B$204,3)-QUARTILE($B$5:$B$204,1)),B6&gt;QUARTILE($B$5:$B$204,3)+1.5*(QUARTILE($B$5:$B$204,3)-QUARTILE($B$5:$B$204,1))),"Review","Within range")</f>
        <v/>
      </c>
      <c r="Q6" s="6">
        <f>IF(OR(C6&lt;QUARTILE($C$5:$C$204,1)-1.5*(QUARTILE($C$5:$C$204,3)-QUARTILE($C$5:$C$204,1)),C6&gt;QUARTILE($C$5:$C$204,3)+1.5*(QUARTILE($C$5:$C$204,3)-QUARTILE($C$5:$C$204,1))),"Review","Within range")</f>
        <v/>
      </c>
      <c r="R6" s="6">
        <f>IF(OR(D6&lt;QUARTILE($D$5:$D$204,1)-1.5*(QUARTILE($D$5:$D$204,3)-QUARTILE($D$5:$D$204,1)),D6&gt;QUARTILE($D$5:$D$204,3)+1.5*(QUARTILE($D$5:$D$204,3)-QUARTILE($D$5:$D$204,1))),"Review","Within range")</f>
        <v/>
      </c>
      <c r="S6" s="6">
        <f>IF(OR(E6&lt;QUARTILE($E$5:$E$204,1)-1.5*(QUARTILE($E$5:$E$204,3)-QUARTILE($E$5:$E$204,1)),E6&gt;QUARTILE($E$5:$E$204,3)+1.5*(QUARTILE($E$5:$E$204,3)-QUARTILE($E$5:$E$204,1))),"Review","Within range")</f>
        <v/>
      </c>
      <c r="T6" s="6">
        <f>IF(COUNTBLANK(A6:E6)&gt;0,"Missing value",IF(COUNTIF(B6:E6,"&lt;0")&gt;0,"Negative value",IF(COUNTIF($A$5:$A$204,A6)&gt;1,"Duplicate market ID",IF(OR(P6="Review",Q6="Review",R6="Review",S6="Review"),"Review outlier","OK"))))</f>
        <v/>
      </c>
    </row>
    <row r="7">
      <c r="A7" s="6">
        <f>Raw_Data!A7</f>
        <v/>
      </c>
      <c r="B7" s="7">
        <f>Raw_Data!B7</f>
        <v/>
      </c>
      <c r="C7" s="7">
        <f>Raw_Data!C7</f>
        <v/>
      </c>
      <c r="D7" s="7">
        <f>Raw_Data!D7</f>
        <v/>
      </c>
      <c r="E7" s="7">
        <f>Raw_Data!E7</f>
        <v/>
      </c>
      <c r="F7" s="7">
        <f>SUM(B7:D7)</f>
        <v/>
      </c>
      <c r="G7" s="8">
        <f>IFERROR(B7/F7,0)</f>
        <v/>
      </c>
      <c r="H7" s="8">
        <f>IFERROR(C7/F7,0)</f>
        <v/>
      </c>
      <c r="I7" s="8">
        <f>IFERROR(D7/F7,0)</f>
        <v/>
      </c>
      <c r="J7" s="9">
        <f>IFERROR(E7/F7,0)</f>
        <v/>
      </c>
      <c r="K7" s="9">
        <f>IFERROR((B7-AVERAGE($B$5:$B$204))/STDEV($B$5:$B$204),0)</f>
        <v/>
      </c>
      <c r="L7" s="9">
        <f>IFERROR((C7-AVERAGE($C$5:$C$204))/STDEV($C$5:$C$204),0)</f>
        <v/>
      </c>
      <c r="M7" s="9">
        <f>IFERROR((D7-AVERAGE($D$5:$D$204))/STDEV($D$5:$D$204),0)</f>
        <v/>
      </c>
      <c r="N7" s="9">
        <f>IFERROR((E7-AVERAGE($E$5:$E$204))/STDEV($E$5:$E$204),0)</f>
        <v/>
      </c>
      <c r="O7" s="9">
        <f>IFERROR((F7-AVERAGE($F$5:$F$204))/STDEV($F$5:$F$204),0)</f>
        <v/>
      </c>
      <c r="P7" s="6">
        <f>IF(OR(B7&lt;QUARTILE($B$5:$B$204,1)-1.5*(QUARTILE($B$5:$B$204,3)-QUARTILE($B$5:$B$204,1)),B7&gt;QUARTILE($B$5:$B$204,3)+1.5*(QUARTILE($B$5:$B$204,3)-QUARTILE($B$5:$B$204,1))),"Review","Within range")</f>
        <v/>
      </c>
      <c r="Q7" s="6">
        <f>IF(OR(C7&lt;QUARTILE($C$5:$C$204,1)-1.5*(QUARTILE($C$5:$C$204,3)-QUARTILE($C$5:$C$204,1)),C7&gt;QUARTILE($C$5:$C$204,3)+1.5*(QUARTILE($C$5:$C$204,3)-QUARTILE($C$5:$C$204,1))),"Review","Within range")</f>
        <v/>
      </c>
      <c r="R7" s="6">
        <f>IF(OR(D7&lt;QUARTILE($D$5:$D$204,1)-1.5*(QUARTILE($D$5:$D$204,3)-QUARTILE($D$5:$D$204,1)),D7&gt;QUARTILE($D$5:$D$204,3)+1.5*(QUARTILE($D$5:$D$204,3)-QUARTILE($D$5:$D$204,1))),"Review","Within range")</f>
        <v/>
      </c>
      <c r="S7" s="6">
        <f>IF(OR(E7&lt;QUARTILE($E$5:$E$204,1)-1.5*(QUARTILE($E$5:$E$204,3)-QUARTILE($E$5:$E$204,1)),E7&gt;QUARTILE($E$5:$E$204,3)+1.5*(QUARTILE($E$5:$E$204,3)-QUARTILE($E$5:$E$204,1))),"Review","Within range")</f>
        <v/>
      </c>
      <c r="T7" s="6">
        <f>IF(COUNTBLANK(A7:E7)&gt;0,"Missing value",IF(COUNTIF(B7:E7,"&lt;0")&gt;0,"Negative value",IF(COUNTIF($A$5:$A$204,A7)&gt;1,"Duplicate market ID",IF(OR(P7="Review",Q7="Review",R7="Review",S7="Review"),"Review outlier","OK"))))</f>
        <v/>
      </c>
    </row>
    <row r="8">
      <c r="A8" s="6">
        <f>Raw_Data!A8</f>
        <v/>
      </c>
      <c r="B8" s="7">
        <f>Raw_Data!B8</f>
        <v/>
      </c>
      <c r="C8" s="7">
        <f>Raw_Data!C8</f>
        <v/>
      </c>
      <c r="D8" s="7">
        <f>Raw_Data!D8</f>
        <v/>
      </c>
      <c r="E8" s="7">
        <f>Raw_Data!E8</f>
        <v/>
      </c>
      <c r="F8" s="7">
        <f>SUM(B8:D8)</f>
        <v/>
      </c>
      <c r="G8" s="8">
        <f>IFERROR(B8/F8,0)</f>
        <v/>
      </c>
      <c r="H8" s="8">
        <f>IFERROR(C8/F8,0)</f>
        <v/>
      </c>
      <c r="I8" s="8">
        <f>IFERROR(D8/F8,0)</f>
        <v/>
      </c>
      <c r="J8" s="9">
        <f>IFERROR(E8/F8,0)</f>
        <v/>
      </c>
      <c r="K8" s="9">
        <f>IFERROR((B8-AVERAGE($B$5:$B$204))/STDEV($B$5:$B$204),0)</f>
        <v/>
      </c>
      <c r="L8" s="9">
        <f>IFERROR((C8-AVERAGE($C$5:$C$204))/STDEV($C$5:$C$204),0)</f>
        <v/>
      </c>
      <c r="M8" s="9">
        <f>IFERROR((D8-AVERAGE($D$5:$D$204))/STDEV($D$5:$D$204),0)</f>
        <v/>
      </c>
      <c r="N8" s="9">
        <f>IFERROR((E8-AVERAGE($E$5:$E$204))/STDEV($E$5:$E$204),0)</f>
        <v/>
      </c>
      <c r="O8" s="9">
        <f>IFERROR((F8-AVERAGE($F$5:$F$204))/STDEV($F$5:$F$204),0)</f>
        <v/>
      </c>
      <c r="P8" s="6">
        <f>IF(OR(B8&lt;QUARTILE($B$5:$B$204,1)-1.5*(QUARTILE($B$5:$B$204,3)-QUARTILE($B$5:$B$204,1)),B8&gt;QUARTILE($B$5:$B$204,3)+1.5*(QUARTILE($B$5:$B$204,3)-QUARTILE($B$5:$B$204,1))),"Review","Within range")</f>
        <v/>
      </c>
      <c r="Q8" s="6">
        <f>IF(OR(C8&lt;QUARTILE($C$5:$C$204,1)-1.5*(QUARTILE($C$5:$C$204,3)-QUARTILE($C$5:$C$204,1)),C8&gt;QUARTILE($C$5:$C$204,3)+1.5*(QUARTILE($C$5:$C$204,3)-QUARTILE($C$5:$C$204,1))),"Review","Within range")</f>
        <v/>
      </c>
      <c r="R8" s="6">
        <f>IF(OR(D8&lt;QUARTILE($D$5:$D$204,1)-1.5*(QUARTILE($D$5:$D$204,3)-QUARTILE($D$5:$D$204,1)),D8&gt;QUARTILE($D$5:$D$204,3)+1.5*(QUARTILE($D$5:$D$204,3)-QUARTILE($D$5:$D$204,1))),"Review","Within range")</f>
        <v/>
      </c>
      <c r="S8" s="6">
        <f>IF(OR(E8&lt;QUARTILE($E$5:$E$204,1)-1.5*(QUARTILE($E$5:$E$204,3)-QUARTILE($E$5:$E$204,1)),E8&gt;QUARTILE($E$5:$E$204,3)+1.5*(QUARTILE($E$5:$E$204,3)-QUARTILE($E$5:$E$204,1))),"Review","Within range")</f>
        <v/>
      </c>
      <c r="T8" s="6">
        <f>IF(COUNTBLANK(A8:E8)&gt;0,"Missing value",IF(COUNTIF(B8:E8,"&lt;0")&gt;0,"Negative value",IF(COUNTIF($A$5:$A$204,A8)&gt;1,"Duplicate market ID",IF(OR(P8="Review",Q8="Review",R8="Review",S8="Review"),"Review outlier","OK"))))</f>
        <v/>
      </c>
    </row>
    <row r="9">
      <c r="A9" s="6">
        <f>Raw_Data!A9</f>
        <v/>
      </c>
      <c r="B9" s="7">
        <f>Raw_Data!B9</f>
        <v/>
      </c>
      <c r="C9" s="7">
        <f>Raw_Data!C9</f>
        <v/>
      </c>
      <c r="D9" s="7">
        <f>Raw_Data!D9</f>
        <v/>
      </c>
      <c r="E9" s="7">
        <f>Raw_Data!E9</f>
        <v/>
      </c>
      <c r="F9" s="7">
        <f>SUM(B9:D9)</f>
        <v/>
      </c>
      <c r="G9" s="8">
        <f>IFERROR(B9/F9,0)</f>
        <v/>
      </c>
      <c r="H9" s="8">
        <f>IFERROR(C9/F9,0)</f>
        <v/>
      </c>
      <c r="I9" s="8">
        <f>IFERROR(D9/F9,0)</f>
        <v/>
      </c>
      <c r="J9" s="9">
        <f>IFERROR(E9/F9,0)</f>
        <v/>
      </c>
      <c r="K9" s="9">
        <f>IFERROR((B9-AVERAGE($B$5:$B$204))/STDEV($B$5:$B$204),0)</f>
        <v/>
      </c>
      <c r="L9" s="9">
        <f>IFERROR((C9-AVERAGE($C$5:$C$204))/STDEV($C$5:$C$204),0)</f>
        <v/>
      </c>
      <c r="M9" s="9">
        <f>IFERROR((D9-AVERAGE($D$5:$D$204))/STDEV($D$5:$D$204),0)</f>
        <v/>
      </c>
      <c r="N9" s="9">
        <f>IFERROR((E9-AVERAGE($E$5:$E$204))/STDEV($E$5:$E$204),0)</f>
        <v/>
      </c>
      <c r="O9" s="9">
        <f>IFERROR((F9-AVERAGE($F$5:$F$204))/STDEV($F$5:$F$204),0)</f>
        <v/>
      </c>
      <c r="P9" s="6">
        <f>IF(OR(B9&lt;QUARTILE($B$5:$B$204,1)-1.5*(QUARTILE($B$5:$B$204,3)-QUARTILE($B$5:$B$204,1)),B9&gt;QUARTILE($B$5:$B$204,3)+1.5*(QUARTILE($B$5:$B$204,3)-QUARTILE($B$5:$B$204,1))),"Review","Within range")</f>
        <v/>
      </c>
      <c r="Q9" s="6">
        <f>IF(OR(C9&lt;QUARTILE($C$5:$C$204,1)-1.5*(QUARTILE($C$5:$C$204,3)-QUARTILE($C$5:$C$204,1)),C9&gt;QUARTILE($C$5:$C$204,3)+1.5*(QUARTILE($C$5:$C$204,3)-QUARTILE($C$5:$C$204,1))),"Review","Within range")</f>
        <v/>
      </c>
      <c r="R9" s="6">
        <f>IF(OR(D9&lt;QUARTILE($D$5:$D$204,1)-1.5*(QUARTILE($D$5:$D$204,3)-QUARTILE($D$5:$D$204,1)),D9&gt;QUARTILE($D$5:$D$204,3)+1.5*(QUARTILE($D$5:$D$204,3)-QUARTILE($D$5:$D$204,1))),"Review","Within range")</f>
        <v/>
      </c>
      <c r="S9" s="6">
        <f>IF(OR(E9&lt;QUARTILE($E$5:$E$204,1)-1.5*(QUARTILE($E$5:$E$204,3)-QUARTILE($E$5:$E$204,1)),E9&gt;QUARTILE($E$5:$E$204,3)+1.5*(QUARTILE($E$5:$E$204,3)-QUARTILE($E$5:$E$204,1))),"Review","Within range")</f>
        <v/>
      </c>
      <c r="T9" s="6">
        <f>IF(COUNTBLANK(A9:E9)&gt;0,"Missing value",IF(COUNTIF(B9:E9,"&lt;0")&gt;0,"Negative value",IF(COUNTIF($A$5:$A$204,A9)&gt;1,"Duplicate market ID",IF(OR(P9="Review",Q9="Review",R9="Review",S9="Review"),"Review outlier","OK"))))</f>
        <v/>
      </c>
    </row>
    <row r="10">
      <c r="A10" s="6">
        <f>Raw_Data!A10</f>
        <v/>
      </c>
      <c r="B10" s="7">
        <f>Raw_Data!B10</f>
        <v/>
      </c>
      <c r="C10" s="7">
        <f>Raw_Data!C10</f>
        <v/>
      </c>
      <c r="D10" s="7">
        <f>Raw_Data!D10</f>
        <v/>
      </c>
      <c r="E10" s="7">
        <f>Raw_Data!E10</f>
        <v/>
      </c>
      <c r="F10" s="7">
        <f>SUM(B10:D10)</f>
        <v/>
      </c>
      <c r="G10" s="8">
        <f>IFERROR(B10/F10,0)</f>
        <v/>
      </c>
      <c r="H10" s="8">
        <f>IFERROR(C10/F10,0)</f>
        <v/>
      </c>
      <c r="I10" s="8">
        <f>IFERROR(D10/F10,0)</f>
        <v/>
      </c>
      <c r="J10" s="9">
        <f>IFERROR(E10/F10,0)</f>
        <v/>
      </c>
      <c r="K10" s="9">
        <f>IFERROR((B10-AVERAGE($B$5:$B$204))/STDEV($B$5:$B$204),0)</f>
        <v/>
      </c>
      <c r="L10" s="9">
        <f>IFERROR((C10-AVERAGE($C$5:$C$204))/STDEV($C$5:$C$204),0)</f>
        <v/>
      </c>
      <c r="M10" s="9">
        <f>IFERROR((D10-AVERAGE($D$5:$D$204))/STDEV($D$5:$D$204),0)</f>
        <v/>
      </c>
      <c r="N10" s="9">
        <f>IFERROR((E10-AVERAGE($E$5:$E$204))/STDEV($E$5:$E$204),0)</f>
        <v/>
      </c>
      <c r="O10" s="9">
        <f>IFERROR((F10-AVERAGE($F$5:$F$204))/STDEV($F$5:$F$204),0)</f>
        <v/>
      </c>
      <c r="P10" s="6">
        <f>IF(OR(B10&lt;QUARTILE($B$5:$B$204,1)-1.5*(QUARTILE($B$5:$B$204,3)-QUARTILE($B$5:$B$204,1)),B10&gt;QUARTILE($B$5:$B$204,3)+1.5*(QUARTILE($B$5:$B$204,3)-QUARTILE($B$5:$B$204,1))),"Review","Within range")</f>
        <v/>
      </c>
      <c r="Q10" s="6">
        <f>IF(OR(C10&lt;QUARTILE($C$5:$C$204,1)-1.5*(QUARTILE($C$5:$C$204,3)-QUARTILE($C$5:$C$204,1)),C10&gt;QUARTILE($C$5:$C$204,3)+1.5*(QUARTILE($C$5:$C$204,3)-QUARTILE($C$5:$C$204,1))),"Review","Within range")</f>
        <v/>
      </c>
      <c r="R10" s="6">
        <f>IF(OR(D10&lt;QUARTILE($D$5:$D$204,1)-1.5*(QUARTILE($D$5:$D$204,3)-QUARTILE($D$5:$D$204,1)),D10&gt;QUARTILE($D$5:$D$204,3)+1.5*(QUARTILE($D$5:$D$204,3)-QUARTILE($D$5:$D$204,1))),"Review","Within range")</f>
        <v/>
      </c>
      <c r="S10" s="6">
        <f>IF(OR(E10&lt;QUARTILE($E$5:$E$204,1)-1.5*(QUARTILE($E$5:$E$204,3)-QUARTILE($E$5:$E$204,1)),E10&gt;QUARTILE($E$5:$E$204,3)+1.5*(QUARTILE($E$5:$E$204,3)-QUARTILE($E$5:$E$204,1))),"Review","Within range")</f>
        <v/>
      </c>
      <c r="T10" s="6">
        <f>IF(COUNTBLANK(A10:E10)&gt;0,"Missing value",IF(COUNTIF(B10:E10,"&lt;0")&gt;0,"Negative value",IF(COUNTIF($A$5:$A$204,A10)&gt;1,"Duplicate market ID",IF(OR(P10="Review",Q10="Review",R10="Review",S10="Review"),"Review outlier","OK"))))</f>
        <v/>
      </c>
    </row>
    <row r="11">
      <c r="A11" s="6">
        <f>Raw_Data!A11</f>
        <v/>
      </c>
      <c r="B11" s="7">
        <f>Raw_Data!B11</f>
        <v/>
      </c>
      <c r="C11" s="7">
        <f>Raw_Data!C11</f>
        <v/>
      </c>
      <c r="D11" s="7">
        <f>Raw_Data!D11</f>
        <v/>
      </c>
      <c r="E11" s="7">
        <f>Raw_Data!E11</f>
        <v/>
      </c>
      <c r="F11" s="7">
        <f>SUM(B11:D11)</f>
        <v/>
      </c>
      <c r="G11" s="8">
        <f>IFERROR(B11/F11,0)</f>
        <v/>
      </c>
      <c r="H11" s="8">
        <f>IFERROR(C11/F11,0)</f>
        <v/>
      </c>
      <c r="I11" s="8">
        <f>IFERROR(D11/F11,0)</f>
        <v/>
      </c>
      <c r="J11" s="9">
        <f>IFERROR(E11/F11,0)</f>
        <v/>
      </c>
      <c r="K11" s="9">
        <f>IFERROR((B11-AVERAGE($B$5:$B$204))/STDEV($B$5:$B$204),0)</f>
        <v/>
      </c>
      <c r="L11" s="9">
        <f>IFERROR((C11-AVERAGE($C$5:$C$204))/STDEV($C$5:$C$204),0)</f>
        <v/>
      </c>
      <c r="M11" s="9">
        <f>IFERROR((D11-AVERAGE($D$5:$D$204))/STDEV($D$5:$D$204),0)</f>
        <v/>
      </c>
      <c r="N11" s="9">
        <f>IFERROR((E11-AVERAGE($E$5:$E$204))/STDEV($E$5:$E$204),0)</f>
        <v/>
      </c>
      <c r="O11" s="9">
        <f>IFERROR((F11-AVERAGE($F$5:$F$204))/STDEV($F$5:$F$204),0)</f>
        <v/>
      </c>
      <c r="P11" s="6">
        <f>IF(OR(B11&lt;QUARTILE($B$5:$B$204,1)-1.5*(QUARTILE($B$5:$B$204,3)-QUARTILE($B$5:$B$204,1)),B11&gt;QUARTILE($B$5:$B$204,3)+1.5*(QUARTILE($B$5:$B$204,3)-QUARTILE($B$5:$B$204,1))),"Review","Within range")</f>
        <v/>
      </c>
      <c r="Q11" s="6">
        <f>IF(OR(C11&lt;QUARTILE($C$5:$C$204,1)-1.5*(QUARTILE($C$5:$C$204,3)-QUARTILE($C$5:$C$204,1)),C11&gt;QUARTILE($C$5:$C$204,3)+1.5*(QUARTILE($C$5:$C$204,3)-QUARTILE($C$5:$C$204,1))),"Review","Within range")</f>
        <v/>
      </c>
      <c r="R11" s="6">
        <f>IF(OR(D11&lt;QUARTILE($D$5:$D$204,1)-1.5*(QUARTILE($D$5:$D$204,3)-QUARTILE($D$5:$D$204,1)),D11&gt;QUARTILE($D$5:$D$204,3)+1.5*(QUARTILE($D$5:$D$204,3)-QUARTILE($D$5:$D$204,1))),"Review","Within range")</f>
        <v/>
      </c>
      <c r="S11" s="6">
        <f>IF(OR(E11&lt;QUARTILE($E$5:$E$204,1)-1.5*(QUARTILE($E$5:$E$204,3)-QUARTILE($E$5:$E$204,1)),E11&gt;QUARTILE($E$5:$E$204,3)+1.5*(QUARTILE($E$5:$E$204,3)-QUARTILE($E$5:$E$204,1))),"Review","Within range")</f>
        <v/>
      </c>
      <c r="T11" s="6">
        <f>IF(COUNTBLANK(A11:E11)&gt;0,"Missing value",IF(COUNTIF(B11:E11,"&lt;0")&gt;0,"Negative value",IF(COUNTIF($A$5:$A$204,A11)&gt;1,"Duplicate market ID",IF(OR(P11="Review",Q11="Review",R11="Review",S11="Review"),"Review outlier","OK"))))</f>
        <v/>
      </c>
    </row>
    <row r="12">
      <c r="A12" s="6">
        <f>Raw_Data!A12</f>
        <v/>
      </c>
      <c r="B12" s="7">
        <f>Raw_Data!B12</f>
        <v/>
      </c>
      <c r="C12" s="7">
        <f>Raw_Data!C12</f>
        <v/>
      </c>
      <c r="D12" s="7">
        <f>Raw_Data!D12</f>
        <v/>
      </c>
      <c r="E12" s="7">
        <f>Raw_Data!E12</f>
        <v/>
      </c>
      <c r="F12" s="7">
        <f>SUM(B12:D12)</f>
        <v/>
      </c>
      <c r="G12" s="8">
        <f>IFERROR(B12/F12,0)</f>
        <v/>
      </c>
      <c r="H12" s="8">
        <f>IFERROR(C12/F12,0)</f>
        <v/>
      </c>
      <c r="I12" s="8">
        <f>IFERROR(D12/F12,0)</f>
        <v/>
      </c>
      <c r="J12" s="9">
        <f>IFERROR(E12/F12,0)</f>
        <v/>
      </c>
      <c r="K12" s="9">
        <f>IFERROR((B12-AVERAGE($B$5:$B$204))/STDEV($B$5:$B$204),0)</f>
        <v/>
      </c>
      <c r="L12" s="9">
        <f>IFERROR((C12-AVERAGE($C$5:$C$204))/STDEV($C$5:$C$204),0)</f>
        <v/>
      </c>
      <c r="M12" s="9">
        <f>IFERROR((D12-AVERAGE($D$5:$D$204))/STDEV($D$5:$D$204),0)</f>
        <v/>
      </c>
      <c r="N12" s="9">
        <f>IFERROR((E12-AVERAGE($E$5:$E$204))/STDEV($E$5:$E$204),0)</f>
        <v/>
      </c>
      <c r="O12" s="9">
        <f>IFERROR((F12-AVERAGE($F$5:$F$204))/STDEV($F$5:$F$204),0)</f>
        <v/>
      </c>
      <c r="P12" s="6">
        <f>IF(OR(B12&lt;QUARTILE($B$5:$B$204,1)-1.5*(QUARTILE($B$5:$B$204,3)-QUARTILE($B$5:$B$204,1)),B12&gt;QUARTILE($B$5:$B$204,3)+1.5*(QUARTILE($B$5:$B$204,3)-QUARTILE($B$5:$B$204,1))),"Review","Within range")</f>
        <v/>
      </c>
      <c r="Q12" s="6">
        <f>IF(OR(C12&lt;QUARTILE($C$5:$C$204,1)-1.5*(QUARTILE($C$5:$C$204,3)-QUARTILE($C$5:$C$204,1)),C12&gt;QUARTILE($C$5:$C$204,3)+1.5*(QUARTILE($C$5:$C$204,3)-QUARTILE($C$5:$C$204,1))),"Review","Within range")</f>
        <v/>
      </c>
      <c r="R12" s="6">
        <f>IF(OR(D12&lt;QUARTILE($D$5:$D$204,1)-1.5*(QUARTILE($D$5:$D$204,3)-QUARTILE($D$5:$D$204,1)),D12&gt;QUARTILE($D$5:$D$204,3)+1.5*(QUARTILE($D$5:$D$204,3)-QUARTILE($D$5:$D$204,1))),"Review","Within range")</f>
        <v/>
      </c>
      <c r="S12" s="6">
        <f>IF(OR(E12&lt;QUARTILE($E$5:$E$204,1)-1.5*(QUARTILE($E$5:$E$204,3)-QUARTILE($E$5:$E$204,1)),E12&gt;QUARTILE($E$5:$E$204,3)+1.5*(QUARTILE($E$5:$E$204,3)-QUARTILE($E$5:$E$204,1))),"Review","Within range")</f>
        <v/>
      </c>
      <c r="T12" s="6">
        <f>IF(COUNTBLANK(A12:E12)&gt;0,"Missing value",IF(COUNTIF(B12:E12,"&lt;0")&gt;0,"Negative value",IF(COUNTIF($A$5:$A$204,A12)&gt;1,"Duplicate market ID",IF(OR(P12="Review",Q12="Review",R12="Review",S12="Review"),"Review outlier","OK"))))</f>
        <v/>
      </c>
    </row>
    <row r="13">
      <c r="A13" s="6">
        <f>Raw_Data!A13</f>
        <v/>
      </c>
      <c r="B13" s="7">
        <f>Raw_Data!B13</f>
        <v/>
      </c>
      <c r="C13" s="7">
        <f>Raw_Data!C13</f>
        <v/>
      </c>
      <c r="D13" s="7">
        <f>Raw_Data!D13</f>
        <v/>
      </c>
      <c r="E13" s="7">
        <f>Raw_Data!E13</f>
        <v/>
      </c>
      <c r="F13" s="7">
        <f>SUM(B13:D13)</f>
        <v/>
      </c>
      <c r="G13" s="8">
        <f>IFERROR(B13/F13,0)</f>
        <v/>
      </c>
      <c r="H13" s="8">
        <f>IFERROR(C13/F13,0)</f>
        <v/>
      </c>
      <c r="I13" s="8">
        <f>IFERROR(D13/F13,0)</f>
        <v/>
      </c>
      <c r="J13" s="9">
        <f>IFERROR(E13/F13,0)</f>
        <v/>
      </c>
      <c r="K13" s="9">
        <f>IFERROR((B13-AVERAGE($B$5:$B$204))/STDEV($B$5:$B$204),0)</f>
        <v/>
      </c>
      <c r="L13" s="9">
        <f>IFERROR((C13-AVERAGE($C$5:$C$204))/STDEV($C$5:$C$204),0)</f>
        <v/>
      </c>
      <c r="M13" s="9">
        <f>IFERROR((D13-AVERAGE($D$5:$D$204))/STDEV($D$5:$D$204),0)</f>
        <v/>
      </c>
      <c r="N13" s="9">
        <f>IFERROR((E13-AVERAGE($E$5:$E$204))/STDEV($E$5:$E$204),0)</f>
        <v/>
      </c>
      <c r="O13" s="9">
        <f>IFERROR((F13-AVERAGE($F$5:$F$204))/STDEV($F$5:$F$204),0)</f>
        <v/>
      </c>
      <c r="P13" s="6">
        <f>IF(OR(B13&lt;QUARTILE($B$5:$B$204,1)-1.5*(QUARTILE($B$5:$B$204,3)-QUARTILE($B$5:$B$204,1)),B13&gt;QUARTILE($B$5:$B$204,3)+1.5*(QUARTILE($B$5:$B$204,3)-QUARTILE($B$5:$B$204,1))),"Review","Within range")</f>
        <v/>
      </c>
      <c r="Q13" s="6">
        <f>IF(OR(C13&lt;QUARTILE($C$5:$C$204,1)-1.5*(QUARTILE($C$5:$C$204,3)-QUARTILE($C$5:$C$204,1)),C13&gt;QUARTILE($C$5:$C$204,3)+1.5*(QUARTILE($C$5:$C$204,3)-QUARTILE($C$5:$C$204,1))),"Review","Within range")</f>
        <v/>
      </c>
      <c r="R13" s="6">
        <f>IF(OR(D13&lt;QUARTILE($D$5:$D$204,1)-1.5*(QUARTILE($D$5:$D$204,3)-QUARTILE($D$5:$D$204,1)),D13&gt;QUARTILE($D$5:$D$204,3)+1.5*(QUARTILE($D$5:$D$204,3)-QUARTILE($D$5:$D$204,1))),"Review","Within range")</f>
        <v/>
      </c>
      <c r="S13" s="6">
        <f>IF(OR(E13&lt;QUARTILE($E$5:$E$204,1)-1.5*(QUARTILE($E$5:$E$204,3)-QUARTILE($E$5:$E$204,1)),E13&gt;QUARTILE($E$5:$E$204,3)+1.5*(QUARTILE($E$5:$E$204,3)-QUARTILE($E$5:$E$204,1))),"Review","Within range")</f>
        <v/>
      </c>
      <c r="T13" s="6">
        <f>IF(COUNTBLANK(A13:E13)&gt;0,"Missing value",IF(COUNTIF(B13:E13,"&lt;0")&gt;0,"Negative value",IF(COUNTIF($A$5:$A$204,A13)&gt;1,"Duplicate market ID",IF(OR(P13="Review",Q13="Review",R13="Review",S13="Review"),"Review outlier","OK"))))</f>
        <v/>
      </c>
    </row>
    <row r="14">
      <c r="A14" s="6">
        <f>Raw_Data!A14</f>
        <v/>
      </c>
      <c r="B14" s="7">
        <f>Raw_Data!B14</f>
        <v/>
      </c>
      <c r="C14" s="7">
        <f>Raw_Data!C14</f>
        <v/>
      </c>
      <c r="D14" s="7">
        <f>Raw_Data!D14</f>
        <v/>
      </c>
      <c r="E14" s="7">
        <f>Raw_Data!E14</f>
        <v/>
      </c>
      <c r="F14" s="7">
        <f>SUM(B14:D14)</f>
        <v/>
      </c>
      <c r="G14" s="8">
        <f>IFERROR(B14/F14,0)</f>
        <v/>
      </c>
      <c r="H14" s="8">
        <f>IFERROR(C14/F14,0)</f>
        <v/>
      </c>
      <c r="I14" s="8">
        <f>IFERROR(D14/F14,0)</f>
        <v/>
      </c>
      <c r="J14" s="9">
        <f>IFERROR(E14/F14,0)</f>
        <v/>
      </c>
      <c r="K14" s="9">
        <f>IFERROR((B14-AVERAGE($B$5:$B$204))/STDEV($B$5:$B$204),0)</f>
        <v/>
      </c>
      <c r="L14" s="9">
        <f>IFERROR((C14-AVERAGE($C$5:$C$204))/STDEV($C$5:$C$204),0)</f>
        <v/>
      </c>
      <c r="M14" s="9">
        <f>IFERROR((D14-AVERAGE($D$5:$D$204))/STDEV($D$5:$D$204),0)</f>
        <v/>
      </c>
      <c r="N14" s="9">
        <f>IFERROR((E14-AVERAGE($E$5:$E$204))/STDEV($E$5:$E$204),0)</f>
        <v/>
      </c>
      <c r="O14" s="9">
        <f>IFERROR((F14-AVERAGE($F$5:$F$204))/STDEV($F$5:$F$204),0)</f>
        <v/>
      </c>
      <c r="P14" s="6">
        <f>IF(OR(B14&lt;QUARTILE($B$5:$B$204,1)-1.5*(QUARTILE($B$5:$B$204,3)-QUARTILE($B$5:$B$204,1)),B14&gt;QUARTILE($B$5:$B$204,3)+1.5*(QUARTILE($B$5:$B$204,3)-QUARTILE($B$5:$B$204,1))),"Review","Within range")</f>
        <v/>
      </c>
      <c r="Q14" s="6">
        <f>IF(OR(C14&lt;QUARTILE($C$5:$C$204,1)-1.5*(QUARTILE($C$5:$C$204,3)-QUARTILE($C$5:$C$204,1)),C14&gt;QUARTILE($C$5:$C$204,3)+1.5*(QUARTILE($C$5:$C$204,3)-QUARTILE($C$5:$C$204,1))),"Review","Within range")</f>
        <v/>
      </c>
      <c r="R14" s="6">
        <f>IF(OR(D14&lt;QUARTILE($D$5:$D$204,1)-1.5*(QUARTILE($D$5:$D$204,3)-QUARTILE($D$5:$D$204,1)),D14&gt;QUARTILE($D$5:$D$204,3)+1.5*(QUARTILE($D$5:$D$204,3)-QUARTILE($D$5:$D$204,1))),"Review","Within range")</f>
        <v/>
      </c>
      <c r="S14" s="6">
        <f>IF(OR(E14&lt;QUARTILE($E$5:$E$204,1)-1.5*(QUARTILE($E$5:$E$204,3)-QUARTILE($E$5:$E$204,1)),E14&gt;QUARTILE($E$5:$E$204,3)+1.5*(QUARTILE($E$5:$E$204,3)-QUARTILE($E$5:$E$204,1))),"Review","Within range")</f>
        <v/>
      </c>
      <c r="T14" s="6">
        <f>IF(COUNTBLANK(A14:E14)&gt;0,"Missing value",IF(COUNTIF(B14:E14,"&lt;0")&gt;0,"Negative value",IF(COUNTIF($A$5:$A$204,A14)&gt;1,"Duplicate market ID",IF(OR(P14="Review",Q14="Review",R14="Review",S14="Review"),"Review outlier","OK"))))</f>
        <v/>
      </c>
    </row>
    <row r="15">
      <c r="A15" s="6">
        <f>Raw_Data!A15</f>
        <v/>
      </c>
      <c r="B15" s="7">
        <f>Raw_Data!B15</f>
        <v/>
      </c>
      <c r="C15" s="7">
        <f>Raw_Data!C15</f>
        <v/>
      </c>
      <c r="D15" s="7">
        <f>Raw_Data!D15</f>
        <v/>
      </c>
      <c r="E15" s="7">
        <f>Raw_Data!E15</f>
        <v/>
      </c>
      <c r="F15" s="7">
        <f>SUM(B15:D15)</f>
        <v/>
      </c>
      <c r="G15" s="8">
        <f>IFERROR(B15/F15,0)</f>
        <v/>
      </c>
      <c r="H15" s="8">
        <f>IFERROR(C15/F15,0)</f>
        <v/>
      </c>
      <c r="I15" s="8">
        <f>IFERROR(D15/F15,0)</f>
        <v/>
      </c>
      <c r="J15" s="9">
        <f>IFERROR(E15/F15,0)</f>
        <v/>
      </c>
      <c r="K15" s="9">
        <f>IFERROR((B15-AVERAGE($B$5:$B$204))/STDEV($B$5:$B$204),0)</f>
        <v/>
      </c>
      <c r="L15" s="9">
        <f>IFERROR((C15-AVERAGE($C$5:$C$204))/STDEV($C$5:$C$204),0)</f>
        <v/>
      </c>
      <c r="M15" s="9">
        <f>IFERROR((D15-AVERAGE($D$5:$D$204))/STDEV($D$5:$D$204),0)</f>
        <v/>
      </c>
      <c r="N15" s="9">
        <f>IFERROR((E15-AVERAGE($E$5:$E$204))/STDEV($E$5:$E$204),0)</f>
        <v/>
      </c>
      <c r="O15" s="9">
        <f>IFERROR((F15-AVERAGE($F$5:$F$204))/STDEV($F$5:$F$204),0)</f>
        <v/>
      </c>
      <c r="P15" s="6">
        <f>IF(OR(B15&lt;QUARTILE($B$5:$B$204,1)-1.5*(QUARTILE($B$5:$B$204,3)-QUARTILE($B$5:$B$204,1)),B15&gt;QUARTILE($B$5:$B$204,3)+1.5*(QUARTILE($B$5:$B$204,3)-QUARTILE($B$5:$B$204,1))),"Review","Within range")</f>
        <v/>
      </c>
      <c r="Q15" s="6">
        <f>IF(OR(C15&lt;QUARTILE($C$5:$C$204,1)-1.5*(QUARTILE($C$5:$C$204,3)-QUARTILE($C$5:$C$204,1)),C15&gt;QUARTILE($C$5:$C$204,3)+1.5*(QUARTILE($C$5:$C$204,3)-QUARTILE($C$5:$C$204,1))),"Review","Within range")</f>
        <v/>
      </c>
      <c r="R15" s="6">
        <f>IF(OR(D15&lt;QUARTILE($D$5:$D$204,1)-1.5*(QUARTILE($D$5:$D$204,3)-QUARTILE($D$5:$D$204,1)),D15&gt;QUARTILE($D$5:$D$204,3)+1.5*(QUARTILE($D$5:$D$204,3)-QUARTILE($D$5:$D$204,1))),"Review","Within range")</f>
        <v/>
      </c>
      <c r="S15" s="6">
        <f>IF(OR(E15&lt;QUARTILE($E$5:$E$204,1)-1.5*(QUARTILE($E$5:$E$204,3)-QUARTILE($E$5:$E$204,1)),E15&gt;QUARTILE($E$5:$E$204,3)+1.5*(QUARTILE($E$5:$E$204,3)-QUARTILE($E$5:$E$204,1))),"Review","Within range")</f>
        <v/>
      </c>
      <c r="T15" s="6">
        <f>IF(COUNTBLANK(A15:E15)&gt;0,"Missing value",IF(COUNTIF(B15:E15,"&lt;0")&gt;0,"Negative value",IF(COUNTIF($A$5:$A$204,A15)&gt;1,"Duplicate market ID",IF(OR(P15="Review",Q15="Review",R15="Review",S15="Review"),"Review outlier","OK"))))</f>
        <v/>
      </c>
    </row>
    <row r="16">
      <c r="A16" s="6">
        <f>Raw_Data!A16</f>
        <v/>
      </c>
      <c r="B16" s="7">
        <f>Raw_Data!B16</f>
        <v/>
      </c>
      <c r="C16" s="7">
        <f>Raw_Data!C16</f>
        <v/>
      </c>
      <c r="D16" s="7">
        <f>Raw_Data!D16</f>
        <v/>
      </c>
      <c r="E16" s="7">
        <f>Raw_Data!E16</f>
        <v/>
      </c>
      <c r="F16" s="7">
        <f>SUM(B16:D16)</f>
        <v/>
      </c>
      <c r="G16" s="8">
        <f>IFERROR(B16/F16,0)</f>
        <v/>
      </c>
      <c r="H16" s="8">
        <f>IFERROR(C16/F16,0)</f>
        <v/>
      </c>
      <c r="I16" s="8">
        <f>IFERROR(D16/F16,0)</f>
        <v/>
      </c>
      <c r="J16" s="9">
        <f>IFERROR(E16/F16,0)</f>
        <v/>
      </c>
      <c r="K16" s="9">
        <f>IFERROR((B16-AVERAGE($B$5:$B$204))/STDEV($B$5:$B$204),0)</f>
        <v/>
      </c>
      <c r="L16" s="9">
        <f>IFERROR((C16-AVERAGE($C$5:$C$204))/STDEV($C$5:$C$204),0)</f>
        <v/>
      </c>
      <c r="M16" s="9">
        <f>IFERROR((D16-AVERAGE($D$5:$D$204))/STDEV($D$5:$D$204),0)</f>
        <v/>
      </c>
      <c r="N16" s="9">
        <f>IFERROR((E16-AVERAGE($E$5:$E$204))/STDEV($E$5:$E$204),0)</f>
        <v/>
      </c>
      <c r="O16" s="9">
        <f>IFERROR((F16-AVERAGE($F$5:$F$204))/STDEV($F$5:$F$204),0)</f>
        <v/>
      </c>
      <c r="P16" s="6">
        <f>IF(OR(B16&lt;QUARTILE($B$5:$B$204,1)-1.5*(QUARTILE($B$5:$B$204,3)-QUARTILE($B$5:$B$204,1)),B16&gt;QUARTILE($B$5:$B$204,3)+1.5*(QUARTILE($B$5:$B$204,3)-QUARTILE($B$5:$B$204,1))),"Review","Within range")</f>
        <v/>
      </c>
      <c r="Q16" s="6">
        <f>IF(OR(C16&lt;QUARTILE($C$5:$C$204,1)-1.5*(QUARTILE($C$5:$C$204,3)-QUARTILE($C$5:$C$204,1)),C16&gt;QUARTILE($C$5:$C$204,3)+1.5*(QUARTILE($C$5:$C$204,3)-QUARTILE($C$5:$C$204,1))),"Review","Within range")</f>
        <v/>
      </c>
      <c r="R16" s="6">
        <f>IF(OR(D16&lt;QUARTILE($D$5:$D$204,1)-1.5*(QUARTILE($D$5:$D$204,3)-QUARTILE($D$5:$D$204,1)),D16&gt;QUARTILE($D$5:$D$204,3)+1.5*(QUARTILE($D$5:$D$204,3)-QUARTILE($D$5:$D$204,1))),"Review","Within range")</f>
        <v/>
      </c>
      <c r="S16" s="6">
        <f>IF(OR(E16&lt;QUARTILE($E$5:$E$204,1)-1.5*(QUARTILE($E$5:$E$204,3)-QUARTILE($E$5:$E$204,1)),E16&gt;QUARTILE($E$5:$E$204,3)+1.5*(QUARTILE($E$5:$E$204,3)-QUARTILE($E$5:$E$204,1))),"Review","Within range")</f>
        <v/>
      </c>
      <c r="T16" s="6">
        <f>IF(COUNTBLANK(A16:E16)&gt;0,"Missing value",IF(COUNTIF(B16:E16,"&lt;0")&gt;0,"Negative value",IF(COUNTIF($A$5:$A$204,A16)&gt;1,"Duplicate market ID",IF(OR(P16="Review",Q16="Review",R16="Review",S16="Review"),"Review outlier","OK"))))</f>
        <v/>
      </c>
    </row>
    <row r="17">
      <c r="A17" s="6">
        <f>Raw_Data!A17</f>
        <v/>
      </c>
      <c r="B17" s="7">
        <f>Raw_Data!B17</f>
        <v/>
      </c>
      <c r="C17" s="7">
        <f>Raw_Data!C17</f>
        <v/>
      </c>
      <c r="D17" s="7">
        <f>Raw_Data!D17</f>
        <v/>
      </c>
      <c r="E17" s="7">
        <f>Raw_Data!E17</f>
        <v/>
      </c>
      <c r="F17" s="7">
        <f>SUM(B17:D17)</f>
        <v/>
      </c>
      <c r="G17" s="8">
        <f>IFERROR(B17/F17,0)</f>
        <v/>
      </c>
      <c r="H17" s="8">
        <f>IFERROR(C17/F17,0)</f>
        <v/>
      </c>
      <c r="I17" s="8">
        <f>IFERROR(D17/F17,0)</f>
        <v/>
      </c>
      <c r="J17" s="9">
        <f>IFERROR(E17/F17,0)</f>
        <v/>
      </c>
      <c r="K17" s="9">
        <f>IFERROR((B17-AVERAGE($B$5:$B$204))/STDEV($B$5:$B$204),0)</f>
        <v/>
      </c>
      <c r="L17" s="9">
        <f>IFERROR((C17-AVERAGE($C$5:$C$204))/STDEV($C$5:$C$204),0)</f>
        <v/>
      </c>
      <c r="M17" s="9">
        <f>IFERROR((D17-AVERAGE($D$5:$D$204))/STDEV($D$5:$D$204),0)</f>
        <v/>
      </c>
      <c r="N17" s="9">
        <f>IFERROR((E17-AVERAGE($E$5:$E$204))/STDEV($E$5:$E$204),0)</f>
        <v/>
      </c>
      <c r="O17" s="9">
        <f>IFERROR((F17-AVERAGE($F$5:$F$204))/STDEV($F$5:$F$204),0)</f>
        <v/>
      </c>
      <c r="P17" s="6">
        <f>IF(OR(B17&lt;QUARTILE($B$5:$B$204,1)-1.5*(QUARTILE($B$5:$B$204,3)-QUARTILE($B$5:$B$204,1)),B17&gt;QUARTILE($B$5:$B$204,3)+1.5*(QUARTILE($B$5:$B$204,3)-QUARTILE($B$5:$B$204,1))),"Review","Within range")</f>
        <v/>
      </c>
      <c r="Q17" s="6">
        <f>IF(OR(C17&lt;QUARTILE($C$5:$C$204,1)-1.5*(QUARTILE($C$5:$C$204,3)-QUARTILE($C$5:$C$204,1)),C17&gt;QUARTILE($C$5:$C$204,3)+1.5*(QUARTILE($C$5:$C$204,3)-QUARTILE($C$5:$C$204,1))),"Review","Within range")</f>
        <v/>
      </c>
      <c r="R17" s="6">
        <f>IF(OR(D17&lt;QUARTILE($D$5:$D$204,1)-1.5*(QUARTILE($D$5:$D$204,3)-QUARTILE($D$5:$D$204,1)),D17&gt;QUARTILE($D$5:$D$204,3)+1.5*(QUARTILE($D$5:$D$204,3)-QUARTILE($D$5:$D$204,1))),"Review","Within range")</f>
        <v/>
      </c>
      <c r="S17" s="6">
        <f>IF(OR(E17&lt;QUARTILE($E$5:$E$204,1)-1.5*(QUARTILE($E$5:$E$204,3)-QUARTILE($E$5:$E$204,1)),E17&gt;QUARTILE($E$5:$E$204,3)+1.5*(QUARTILE($E$5:$E$204,3)-QUARTILE($E$5:$E$204,1))),"Review","Within range")</f>
        <v/>
      </c>
      <c r="T17" s="6">
        <f>IF(COUNTBLANK(A17:E17)&gt;0,"Missing value",IF(COUNTIF(B17:E17,"&lt;0")&gt;0,"Negative value",IF(COUNTIF($A$5:$A$204,A17)&gt;1,"Duplicate market ID",IF(OR(P17="Review",Q17="Review",R17="Review",S17="Review"),"Review outlier","OK"))))</f>
        <v/>
      </c>
    </row>
    <row r="18">
      <c r="A18" s="6">
        <f>Raw_Data!A18</f>
        <v/>
      </c>
      <c r="B18" s="7">
        <f>Raw_Data!B18</f>
        <v/>
      </c>
      <c r="C18" s="7">
        <f>Raw_Data!C18</f>
        <v/>
      </c>
      <c r="D18" s="7">
        <f>Raw_Data!D18</f>
        <v/>
      </c>
      <c r="E18" s="7">
        <f>Raw_Data!E18</f>
        <v/>
      </c>
      <c r="F18" s="7">
        <f>SUM(B18:D18)</f>
        <v/>
      </c>
      <c r="G18" s="8">
        <f>IFERROR(B18/F18,0)</f>
        <v/>
      </c>
      <c r="H18" s="8">
        <f>IFERROR(C18/F18,0)</f>
        <v/>
      </c>
      <c r="I18" s="8">
        <f>IFERROR(D18/F18,0)</f>
        <v/>
      </c>
      <c r="J18" s="9">
        <f>IFERROR(E18/F18,0)</f>
        <v/>
      </c>
      <c r="K18" s="9">
        <f>IFERROR((B18-AVERAGE($B$5:$B$204))/STDEV($B$5:$B$204),0)</f>
        <v/>
      </c>
      <c r="L18" s="9">
        <f>IFERROR((C18-AVERAGE($C$5:$C$204))/STDEV($C$5:$C$204),0)</f>
        <v/>
      </c>
      <c r="M18" s="9">
        <f>IFERROR((D18-AVERAGE($D$5:$D$204))/STDEV($D$5:$D$204),0)</f>
        <v/>
      </c>
      <c r="N18" s="9">
        <f>IFERROR((E18-AVERAGE($E$5:$E$204))/STDEV($E$5:$E$204),0)</f>
        <v/>
      </c>
      <c r="O18" s="9">
        <f>IFERROR((F18-AVERAGE($F$5:$F$204))/STDEV($F$5:$F$204),0)</f>
        <v/>
      </c>
      <c r="P18" s="6">
        <f>IF(OR(B18&lt;QUARTILE($B$5:$B$204,1)-1.5*(QUARTILE($B$5:$B$204,3)-QUARTILE($B$5:$B$204,1)),B18&gt;QUARTILE($B$5:$B$204,3)+1.5*(QUARTILE($B$5:$B$204,3)-QUARTILE($B$5:$B$204,1))),"Review","Within range")</f>
        <v/>
      </c>
      <c r="Q18" s="6">
        <f>IF(OR(C18&lt;QUARTILE($C$5:$C$204,1)-1.5*(QUARTILE($C$5:$C$204,3)-QUARTILE($C$5:$C$204,1)),C18&gt;QUARTILE($C$5:$C$204,3)+1.5*(QUARTILE($C$5:$C$204,3)-QUARTILE($C$5:$C$204,1))),"Review","Within range")</f>
        <v/>
      </c>
      <c r="R18" s="6">
        <f>IF(OR(D18&lt;QUARTILE($D$5:$D$204,1)-1.5*(QUARTILE($D$5:$D$204,3)-QUARTILE($D$5:$D$204,1)),D18&gt;QUARTILE($D$5:$D$204,3)+1.5*(QUARTILE($D$5:$D$204,3)-QUARTILE($D$5:$D$204,1))),"Review","Within range")</f>
        <v/>
      </c>
      <c r="S18" s="6">
        <f>IF(OR(E18&lt;QUARTILE($E$5:$E$204,1)-1.5*(QUARTILE($E$5:$E$204,3)-QUARTILE($E$5:$E$204,1)),E18&gt;QUARTILE($E$5:$E$204,3)+1.5*(QUARTILE($E$5:$E$204,3)-QUARTILE($E$5:$E$204,1))),"Review","Within range")</f>
        <v/>
      </c>
      <c r="T18" s="6">
        <f>IF(COUNTBLANK(A18:E18)&gt;0,"Missing value",IF(COUNTIF(B18:E18,"&lt;0")&gt;0,"Negative value",IF(COUNTIF($A$5:$A$204,A18)&gt;1,"Duplicate market ID",IF(OR(P18="Review",Q18="Review",R18="Review",S18="Review"),"Review outlier","OK"))))</f>
        <v/>
      </c>
    </row>
    <row r="19">
      <c r="A19" s="6">
        <f>Raw_Data!A19</f>
        <v/>
      </c>
      <c r="B19" s="7">
        <f>Raw_Data!B19</f>
        <v/>
      </c>
      <c r="C19" s="7">
        <f>Raw_Data!C19</f>
        <v/>
      </c>
      <c r="D19" s="7">
        <f>Raw_Data!D19</f>
        <v/>
      </c>
      <c r="E19" s="7">
        <f>Raw_Data!E19</f>
        <v/>
      </c>
      <c r="F19" s="7">
        <f>SUM(B19:D19)</f>
        <v/>
      </c>
      <c r="G19" s="8">
        <f>IFERROR(B19/F19,0)</f>
        <v/>
      </c>
      <c r="H19" s="8">
        <f>IFERROR(C19/F19,0)</f>
        <v/>
      </c>
      <c r="I19" s="8">
        <f>IFERROR(D19/F19,0)</f>
        <v/>
      </c>
      <c r="J19" s="9">
        <f>IFERROR(E19/F19,0)</f>
        <v/>
      </c>
      <c r="K19" s="9">
        <f>IFERROR((B19-AVERAGE($B$5:$B$204))/STDEV($B$5:$B$204),0)</f>
        <v/>
      </c>
      <c r="L19" s="9">
        <f>IFERROR((C19-AVERAGE($C$5:$C$204))/STDEV($C$5:$C$204),0)</f>
        <v/>
      </c>
      <c r="M19" s="9">
        <f>IFERROR((D19-AVERAGE($D$5:$D$204))/STDEV($D$5:$D$204),0)</f>
        <v/>
      </c>
      <c r="N19" s="9">
        <f>IFERROR((E19-AVERAGE($E$5:$E$204))/STDEV($E$5:$E$204),0)</f>
        <v/>
      </c>
      <c r="O19" s="9">
        <f>IFERROR((F19-AVERAGE($F$5:$F$204))/STDEV($F$5:$F$204),0)</f>
        <v/>
      </c>
      <c r="P19" s="6">
        <f>IF(OR(B19&lt;QUARTILE($B$5:$B$204,1)-1.5*(QUARTILE($B$5:$B$204,3)-QUARTILE($B$5:$B$204,1)),B19&gt;QUARTILE($B$5:$B$204,3)+1.5*(QUARTILE($B$5:$B$204,3)-QUARTILE($B$5:$B$204,1))),"Review","Within range")</f>
        <v/>
      </c>
      <c r="Q19" s="6">
        <f>IF(OR(C19&lt;QUARTILE($C$5:$C$204,1)-1.5*(QUARTILE($C$5:$C$204,3)-QUARTILE($C$5:$C$204,1)),C19&gt;QUARTILE($C$5:$C$204,3)+1.5*(QUARTILE($C$5:$C$204,3)-QUARTILE($C$5:$C$204,1))),"Review","Within range")</f>
        <v/>
      </c>
      <c r="R19" s="6">
        <f>IF(OR(D19&lt;QUARTILE($D$5:$D$204,1)-1.5*(QUARTILE($D$5:$D$204,3)-QUARTILE($D$5:$D$204,1)),D19&gt;QUARTILE($D$5:$D$204,3)+1.5*(QUARTILE($D$5:$D$204,3)-QUARTILE($D$5:$D$204,1))),"Review","Within range")</f>
        <v/>
      </c>
      <c r="S19" s="6">
        <f>IF(OR(E19&lt;QUARTILE($E$5:$E$204,1)-1.5*(QUARTILE($E$5:$E$204,3)-QUARTILE($E$5:$E$204,1)),E19&gt;QUARTILE($E$5:$E$204,3)+1.5*(QUARTILE($E$5:$E$204,3)-QUARTILE($E$5:$E$204,1))),"Review","Within range")</f>
        <v/>
      </c>
      <c r="T19" s="6">
        <f>IF(COUNTBLANK(A19:E19)&gt;0,"Missing value",IF(COUNTIF(B19:E19,"&lt;0")&gt;0,"Negative value",IF(COUNTIF($A$5:$A$204,A19)&gt;1,"Duplicate market ID",IF(OR(P19="Review",Q19="Review",R19="Review",S19="Review"),"Review outlier","OK"))))</f>
        <v/>
      </c>
    </row>
    <row r="20">
      <c r="A20" s="6">
        <f>Raw_Data!A20</f>
        <v/>
      </c>
      <c r="B20" s="7">
        <f>Raw_Data!B20</f>
        <v/>
      </c>
      <c r="C20" s="7">
        <f>Raw_Data!C20</f>
        <v/>
      </c>
      <c r="D20" s="7">
        <f>Raw_Data!D20</f>
        <v/>
      </c>
      <c r="E20" s="7">
        <f>Raw_Data!E20</f>
        <v/>
      </c>
      <c r="F20" s="7">
        <f>SUM(B20:D20)</f>
        <v/>
      </c>
      <c r="G20" s="8">
        <f>IFERROR(B20/F20,0)</f>
        <v/>
      </c>
      <c r="H20" s="8">
        <f>IFERROR(C20/F20,0)</f>
        <v/>
      </c>
      <c r="I20" s="8">
        <f>IFERROR(D20/F20,0)</f>
        <v/>
      </c>
      <c r="J20" s="9">
        <f>IFERROR(E20/F20,0)</f>
        <v/>
      </c>
      <c r="K20" s="9">
        <f>IFERROR((B20-AVERAGE($B$5:$B$204))/STDEV($B$5:$B$204),0)</f>
        <v/>
      </c>
      <c r="L20" s="9">
        <f>IFERROR((C20-AVERAGE($C$5:$C$204))/STDEV($C$5:$C$204),0)</f>
        <v/>
      </c>
      <c r="M20" s="9">
        <f>IFERROR((D20-AVERAGE($D$5:$D$204))/STDEV($D$5:$D$204),0)</f>
        <v/>
      </c>
      <c r="N20" s="9">
        <f>IFERROR((E20-AVERAGE($E$5:$E$204))/STDEV($E$5:$E$204),0)</f>
        <v/>
      </c>
      <c r="O20" s="9">
        <f>IFERROR((F20-AVERAGE($F$5:$F$204))/STDEV($F$5:$F$204),0)</f>
        <v/>
      </c>
      <c r="P20" s="6">
        <f>IF(OR(B20&lt;QUARTILE($B$5:$B$204,1)-1.5*(QUARTILE($B$5:$B$204,3)-QUARTILE($B$5:$B$204,1)),B20&gt;QUARTILE($B$5:$B$204,3)+1.5*(QUARTILE($B$5:$B$204,3)-QUARTILE($B$5:$B$204,1))),"Review","Within range")</f>
        <v/>
      </c>
      <c r="Q20" s="6">
        <f>IF(OR(C20&lt;QUARTILE($C$5:$C$204,1)-1.5*(QUARTILE($C$5:$C$204,3)-QUARTILE($C$5:$C$204,1)),C20&gt;QUARTILE($C$5:$C$204,3)+1.5*(QUARTILE($C$5:$C$204,3)-QUARTILE($C$5:$C$204,1))),"Review","Within range")</f>
        <v/>
      </c>
      <c r="R20" s="6">
        <f>IF(OR(D20&lt;QUARTILE($D$5:$D$204,1)-1.5*(QUARTILE($D$5:$D$204,3)-QUARTILE($D$5:$D$204,1)),D20&gt;QUARTILE($D$5:$D$204,3)+1.5*(QUARTILE($D$5:$D$204,3)-QUARTILE($D$5:$D$204,1))),"Review","Within range")</f>
        <v/>
      </c>
      <c r="S20" s="6">
        <f>IF(OR(E20&lt;QUARTILE($E$5:$E$204,1)-1.5*(QUARTILE($E$5:$E$204,3)-QUARTILE($E$5:$E$204,1)),E20&gt;QUARTILE($E$5:$E$204,3)+1.5*(QUARTILE($E$5:$E$204,3)-QUARTILE($E$5:$E$204,1))),"Review","Within range")</f>
        <v/>
      </c>
      <c r="T20" s="6">
        <f>IF(COUNTBLANK(A20:E20)&gt;0,"Missing value",IF(COUNTIF(B20:E20,"&lt;0")&gt;0,"Negative value",IF(COUNTIF($A$5:$A$204,A20)&gt;1,"Duplicate market ID",IF(OR(P20="Review",Q20="Review",R20="Review",S20="Review"),"Review outlier","OK"))))</f>
        <v/>
      </c>
    </row>
    <row r="21">
      <c r="A21" s="6">
        <f>Raw_Data!A21</f>
        <v/>
      </c>
      <c r="B21" s="7">
        <f>Raw_Data!B21</f>
        <v/>
      </c>
      <c r="C21" s="7">
        <f>Raw_Data!C21</f>
        <v/>
      </c>
      <c r="D21" s="7">
        <f>Raw_Data!D21</f>
        <v/>
      </c>
      <c r="E21" s="7">
        <f>Raw_Data!E21</f>
        <v/>
      </c>
      <c r="F21" s="7">
        <f>SUM(B21:D21)</f>
        <v/>
      </c>
      <c r="G21" s="8">
        <f>IFERROR(B21/F21,0)</f>
        <v/>
      </c>
      <c r="H21" s="8">
        <f>IFERROR(C21/F21,0)</f>
        <v/>
      </c>
      <c r="I21" s="8">
        <f>IFERROR(D21/F21,0)</f>
        <v/>
      </c>
      <c r="J21" s="9">
        <f>IFERROR(E21/F21,0)</f>
        <v/>
      </c>
      <c r="K21" s="9">
        <f>IFERROR((B21-AVERAGE($B$5:$B$204))/STDEV($B$5:$B$204),0)</f>
        <v/>
      </c>
      <c r="L21" s="9">
        <f>IFERROR((C21-AVERAGE($C$5:$C$204))/STDEV($C$5:$C$204),0)</f>
        <v/>
      </c>
      <c r="M21" s="9">
        <f>IFERROR((D21-AVERAGE($D$5:$D$204))/STDEV($D$5:$D$204),0)</f>
        <v/>
      </c>
      <c r="N21" s="9">
        <f>IFERROR((E21-AVERAGE($E$5:$E$204))/STDEV($E$5:$E$204),0)</f>
        <v/>
      </c>
      <c r="O21" s="9">
        <f>IFERROR((F21-AVERAGE($F$5:$F$204))/STDEV($F$5:$F$204),0)</f>
        <v/>
      </c>
      <c r="P21" s="6">
        <f>IF(OR(B21&lt;QUARTILE($B$5:$B$204,1)-1.5*(QUARTILE($B$5:$B$204,3)-QUARTILE($B$5:$B$204,1)),B21&gt;QUARTILE($B$5:$B$204,3)+1.5*(QUARTILE($B$5:$B$204,3)-QUARTILE($B$5:$B$204,1))),"Review","Within range")</f>
        <v/>
      </c>
      <c r="Q21" s="6">
        <f>IF(OR(C21&lt;QUARTILE($C$5:$C$204,1)-1.5*(QUARTILE($C$5:$C$204,3)-QUARTILE($C$5:$C$204,1)),C21&gt;QUARTILE($C$5:$C$204,3)+1.5*(QUARTILE($C$5:$C$204,3)-QUARTILE($C$5:$C$204,1))),"Review","Within range")</f>
        <v/>
      </c>
      <c r="R21" s="6">
        <f>IF(OR(D21&lt;QUARTILE($D$5:$D$204,1)-1.5*(QUARTILE($D$5:$D$204,3)-QUARTILE($D$5:$D$204,1)),D21&gt;QUARTILE($D$5:$D$204,3)+1.5*(QUARTILE($D$5:$D$204,3)-QUARTILE($D$5:$D$204,1))),"Review","Within range")</f>
        <v/>
      </c>
      <c r="S21" s="6">
        <f>IF(OR(E21&lt;QUARTILE($E$5:$E$204,1)-1.5*(QUARTILE($E$5:$E$204,3)-QUARTILE($E$5:$E$204,1)),E21&gt;QUARTILE($E$5:$E$204,3)+1.5*(QUARTILE($E$5:$E$204,3)-QUARTILE($E$5:$E$204,1))),"Review","Within range")</f>
        <v/>
      </c>
      <c r="T21" s="6">
        <f>IF(COUNTBLANK(A21:E21)&gt;0,"Missing value",IF(COUNTIF(B21:E21,"&lt;0")&gt;0,"Negative value",IF(COUNTIF($A$5:$A$204,A21)&gt;1,"Duplicate market ID",IF(OR(P21="Review",Q21="Review",R21="Review",S21="Review"),"Review outlier","OK"))))</f>
        <v/>
      </c>
    </row>
    <row r="22">
      <c r="A22" s="6">
        <f>Raw_Data!A22</f>
        <v/>
      </c>
      <c r="B22" s="7">
        <f>Raw_Data!B22</f>
        <v/>
      </c>
      <c r="C22" s="7">
        <f>Raw_Data!C22</f>
        <v/>
      </c>
      <c r="D22" s="7">
        <f>Raw_Data!D22</f>
        <v/>
      </c>
      <c r="E22" s="7">
        <f>Raw_Data!E22</f>
        <v/>
      </c>
      <c r="F22" s="7">
        <f>SUM(B22:D22)</f>
        <v/>
      </c>
      <c r="G22" s="8">
        <f>IFERROR(B22/F22,0)</f>
        <v/>
      </c>
      <c r="H22" s="8">
        <f>IFERROR(C22/F22,0)</f>
        <v/>
      </c>
      <c r="I22" s="8">
        <f>IFERROR(D22/F22,0)</f>
        <v/>
      </c>
      <c r="J22" s="9">
        <f>IFERROR(E22/F22,0)</f>
        <v/>
      </c>
      <c r="K22" s="9">
        <f>IFERROR((B22-AVERAGE($B$5:$B$204))/STDEV($B$5:$B$204),0)</f>
        <v/>
      </c>
      <c r="L22" s="9">
        <f>IFERROR((C22-AVERAGE($C$5:$C$204))/STDEV($C$5:$C$204),0)</f>
        <v/>
      </c>
      <c r="M22" s="9">
        <f>IFERROR((D22-AVERAGE($D$5:$D$204))/STDEV($D$5:$D$204),0)</f>
        <v/>
      </c>
      <c r="N22" s="9">
        <f>IFERROR((E22-AVERAGE($E$5:$E$204))/STDEV($E$5:$E$204),0)</f>
        <v/>
      </c>
      <c r="O22" s="9">
        <f>IFERROR((F22-AVERAGE($F$5:$F$204))/STDEV($F$5:$F$204),0)</f>
        <v/>
      </c>
      <c r="P22" s="6">
        <f>IF(OR(B22&lt;QUARTILE($B$5:$B$204,1)-1.5*(QUARTILE($B$5:$B$204,3)-QUARTILE($B$5:$B$204,1)),B22&gt;QUARTILE($B$5:$B$204,3)+1.5*(QUARTILE($B$5:$B$204,3)-QUARTILE($B$5:$B$204,1))),"Review","Within range")</f>
        <v/>
      </c>
      <c r="Q22" s="6">
        <f>IF(OR(C22&lt;QUARTILE($C$5:$C$204,1)-1.5*(QUARTILE($C$5:$C$204,3)-QUARTILE($C$5:$C$204,1)),C22&gt;QUARTILE($C$5:$C$204,3)+1.5*(QUARTILE($C$5:$C$204,3)-QUARTILE($C$5:$C$204,1))),"Review","Within range")</f>
        <v/>
      </c>
      <c r="R22" s="6">
        <f>IF(OR(D22&lt;QUARTILE($D$5:$D$204,1)-1.5*(QUARTILE($D$5:$D$204,3)-QUARTILE($D$5:$D$204,1)),D22&gt;QUARTILE($D$5:$D$204,3)+1.5*(QUARTILE($D$5:$D$204,3)-QUARTILE($D$5:$D$204,1))),"Review","Within range")</f>
        <v/>
      </c>
      <c r="S22" s="6">
        <f>IF(OR(E22&lt;QUARTILE($E$5:$E$204,1)-1.5*(QUARTILE($E$5:$E$204,3)-QUARTILE($E$5:$E$204,1)),E22&gt;QUARTILE($E$5:$E$204,3)+1.5*(QUARTILE($E$5:$E$204,3)-QUARTILE($E$5:$E$204,1))),"Review","Within range")</f>
        <v/>
      </c>
      <c r="T22" s="6">
        <f>IF(COUNTBLANK(A22:E22)&gt;0,"Missing value",IF(COUNTIF(B22:E22,"&lt;0")&gt;0,"Negative value",IF(COUNTIF($A$5:$A$204,A22)&gt;1,"Duplicate market ID",IF(OR(P22="Review",Q22="Review",R22="Review",S22="Review"),"Review outlier","OK"))))</f>
        <v/>
      </c>
    </row>
    <row r="23">
      <c r="A23" s="6">
        <f>Raw_Data!A23</f>
        <v/>
      </c>
      <c r="B23" s="7">
        <f>Raw_Data!B23</f>
        <v/>
      </c>
      <c r="C23" s="7">
        <f>Raw_Data!C23</f>
        <v/>
      </c>
      <c r="D23" s="7">
        <f>Raw_Data!D23</f>
        <v/>
      </c>
      <c r="E23" s="7">
        <f>Raw_Data!E23</f>
        <v/>
      </c>
      <c r="F23" s="7">
        <f>SUM(B23:D23)</f>
        <v/>
      </c>
      <c r="G23" s="8">
        <f>IFERROR(B23/F23,0)</f>
        <v/>
      </c>
      <c r="H23" s="8">
        <f>IFERROR(C23/F23,0)</f>
        <v/>
      </c>
      <c r="I23" s="8">
        <f>IFERROR(D23/F23,0)</f>
        <v/>
      </c>
      <c r="J23" s="9">
        <f>IFERROR(E23/F23,0)</f>
        <v/>
      </c>
      <c r="K23" s="9">
        <f>IFERROR((B23-AVERAGE($B$5:$B$204))/STDEV($B$5:$B$204),0)</f>
        <v/>
      </c>
      <c r="L23" s="9">
        <f>IFERROR((C23-AVERAGE($C$5:$C$204))/STDEV($C$5:$C$204),0)</f>
        <v/>
      </c>
      <c r="M23" s="9">
        <f>IFERROR((D23-AVERAGE($D$5:$D$204))/STDEV($D$5:$D$204),0)</f>
        <v/>
      </c>
      <c r="N23" s="9">
        <f>IFERROR((E23-AVERAGE($E$5:$E$204))/STDEV($E$5:$E$204),0)</f>
        <v/>
      </c>
      <c r="O23" s="9">
        <f>IFERROR((F23-AVERAGE($F$5:$F$204))/STDEV($F$5:$F$204),0)</f>
        <v/>
      </c>
      <c r="P23" s="6">
        <f>IF(OR(B23&lt;QUARTILE($B$5:$B$204,1)-1.5*(QUARTILE($B$5:$B$204,3)-QUARTILE($B$5:$B$204,1)),B23&gt;QUARTILE($B$5:$B$204,3)+1.5*(QUARTILE($B$5:$B$204,3)-QUARTILE($B$5:$B$204,1))),"Review","Within range")</f>
        <v/>
      </c>
      <c r="Q23" s="6">
        <f>IF(OR(C23&lt;QUARTILE($C$5:$C$204,1)-1.5*(QUARTILE($C$5:$C$204,3)-QUARTILE($C$5:$C$204,1)),C23&gt;QUARTILE($C$5:$C$204,3)+1.5*(QUARTILE($C$5:$C$204,3)-QUARTILE($C$5:$C$204,1))),"Review","Within range")</f>
        <v/>
      </c>
      <c r="R23" s="6">
        <f>IF(OR(D23&lt;QUARTILE($D$5:$D$204,1)-1.5*(QUARTILE($D$5:$D$204,3)-QUARTILE($D$5:$D$204,1)),D23&gt;QUARTILE($D$5:$D$204,3)+1.5*(QUARTILE($D$5:$D$204,3)-QUARTILE($D$5:$D$204,1))),"Review","Within range")</f>
        <v/>
      </c>
      <c r="S23" s="6">
        <f>IF(OR(E23&lt;QUARTILE($E$5:$E$204,1)-1.5*(QUARTILE($E$5:$E$204,3)-QUARTILE($E$5:$E$204,1)),E23&gt;QUARTILE($E$5:$E$204,3)+1.5*(QUARTILE($E$5:$E$204,3)-QUARTILE($E$5:$E$204,1))),"Review","Within range")</f>
        <v/>
      </c>
      <c r="T23" s="6">
        <f>IF(COUNTBLANK(A23:E23)&gt;0,"Missing value",IF(COUNTIF(B23:E23,"&lt;0")&gt;0,"Negative value",IF(COUNTIF($A$5:$A$204,A23)&gt;1,"Duplicate market ID",IF(OR(P23="Review",Q23="Review",R23="Review",S23="Review"),"Review outlier","OK"))))</f>
        <v/>
      </c>
    </row>
    <row r="24">
      <c r="A24" s="6">
        <f>Raw_Data!A24</f>
        <v/>
      </c>
      <c r="B24" s="7">
        <f>Raw_Data!B24</f>
        <v/>
      </c>
      <c r="C24" s="7">
        <f>Raw_Data!C24</f>
        <v/>
      </c>
      <c r="D24" s="7">
        <f>Raw_Data!D24</f>
        <v/>
      </c>
      <c r="E24" s="7">
        <f>Raw_Data!E24</f>
        <v/>
      </c>
      <c r="F24" s="7">
        <f>SUM(B24:D24)</f>
        <v/>
      </c>
      <c r="G24" s="8">
        <f>IFERROR(B24/F24,0)</f>
        <v/>
      </c>
      <c r="H24" s="8">
        <f>IFERROR(C24/F24,0)</f>
        <v/>
      </c>
      <c r="I24" s="8">
        <f>IFERROR(D24/F24,0)</f>
        <v/>
      </c>
      <c r="J24" s="9">
        <f>IFERROR(E24/F24,0)</f>
        <v/>
      </c>
      <c r="K24" s="9">
        <f>IFERROR((B24-AVERAGE($B$5:$B$204))/STDEV($B$5:$B$204),0)</f>
        <v/>
      </c>
      <c r="L24" s="9">
        <f>IFERROR((C24-AVERAGE($C$5:$C$204))/STDEV($C$5:$C$204),0)</f>
        <v/>
      </c>
      <c r="M24" s="9">
        <f>IFERROR((D24-AVERAGE($D$5:$D$204))/STDEV($D$5:$D$204),0)</f>
        <v/>
      </c>
      <c r="N24" s="9">
        <f>IFERROR((E24-AVERAGE($E$5:$E$204))/STDEV($E$5:$E$204),0)</f>
        <v/>
      </c>
      <c r="O24" s="9">
        <f>IFERROR((F24-AVERAGE($F$5:$F$204))/STDEV($F$5:$F$204),0)</f>
        <v/>
      </c>
      <c r="P24" s="6">
        <f>IF(OR(B24&lt;QUARTILE($B$5:$B$204,1)-1.5*(QUARTILE($B$5:$B$204,3)-QUARTILE($B$5:$B$204,1)),B24&gt;QUARTILE($B$5:$B$204,3)+1.5*(QUARTILE($B$5:$B$204,3)-QUARTILE($B$5:$B$204,1))),"Review","Within range")</f>
        <v/>
      </c>
      <c r="Q24" s="6">
        <f>IF(OR(C24&lt;QUARTILE($C$5:$C$204,1)-1.5*(QUARTILE($C$5:$C$204,3)-QUARTILE($C$5:$C$204,1)),C24&gt;QUARTILE($C$5:$C$204,3)+1.5*(QUARTILE($C$5:$C$204,3)-QUARTILE($C$5:$C$204,1))),"Review","Within range")</f>
        <v/>
      </c>
      <c r="R24" s="6">
        <f>IF(OR(D24&lt;QUARTILE($D$5:$D$204,1)-1.5*(QUARTILE($D$5:$D$204,3)-QUARTILE($D$5:$D$204,1)),D24&gt;QUARTILE($D$5:$D$204,3)+1.5*(QUARTILE($D$5:$D$204,3)-QUARTILE($D$5:$D$204,1))),"Review","Within range")</f>
        <v/>
      </c>
      <c r="S24" s="6">
        <f>IF(OR(E24&lt;QUARTILE($E$5:$E$204,1)-1.5*(QUARTILE($E$5:$E$204,3)-QUARTILE($E$5:$E$204,1)),E24&gt;QUARTILE($E$5:$E$204,3)+1.5*(QUARTILE($E$5:$E$204,3)-QUARTILE($E$5:$E$204,1))),"Review","Within range")</f>
        <v/>
      </c>
      <c r="T24" s="6">
        <f>IF(COUNTBLANK(A24:E24)&gt;0,"Missing value",IF(COUNTIF(B24:E24,"&lt;0")&gt;0,"Negative value",IF(COUNTIF($A$5:$A$204,A24)&gt;1,"Duplicate market ID",IF(OR(P24="Review",Q24="Review",R24="Review",S24="Review"),"Review outlier","OK"))))</f>
        <v/>
      </c>
    </row>
    <row r="25">
      <c r="A25" s="6">
        <f>Raw_Data!A25</f>
        <v/>
      </c>
      <c r="B25" s="7">
        <f>Raw_Data!B25</f>
        <v/>
      </c>
      <c r="C25" s="7">
        <f>Raw_Data!C25</f>
        <v/>
      </c>
      <c r="D25" s="7">
        <f>Raw_Data!D25</f>
        <v/>
      </c>
      <c r="E25" s="7">
        <f>Raw_Data!E25</f>
        <v/>
      </c>
      <c r="F25" s="7">
        <f>SUM(B25:D25)</f>
        <v/>
      </c>
      <c r="G25" s="8">
        <f>IFERROR(B25/F25,0)</f>
        <v/>
      </c>
      <c r="H25" s="8">
        <f>IFERROR(C25/F25,0)</f>
        <v/>
      </c>
      <c r="I25" s="8">
        <f>IFERROR(D25/F25,0)</f>
        <v/>
      </c>
      <c r="J25" s="9">
        <f>IFERROR(E25/F25,0)</f>
        <v/>
      </c>
      <c r="K25" s="9">
        <f>IFERROR((B25-AVERAGE($B$5:$B$204))/STDEV($B$5:$B$204),0)</f>
        <v/>
      </c>
      <c r="L25" s="9">
        <f>IFERROR((C25-AVERAGE($C$5:$C$204))/STDEV($C$5:$C$204),0)</f>
        <v/>
      </c>
      <c r="M25" s="9">
        <f>IFERROR((D25-AVERAGE($D$5:$D$204))/STDEV($D$5:$D$204),0)</f>
        <v/>
      </c>
      <c r="N25" s="9">
        <f>IFERROR((E25-AVERAGE($E$5:$E$204))/STDEV($E$5:$E$204),0)</f>
        <v/>
      </c>
      <c r="O25" s="9">
        <f>IFERROR((F25-AVERAGE($F$5:$F$204))/STDEV($F$5:$F$204),0)</f>
        <v/>
      </c>
      <c r="P25" s="6">
        <f>IF(OR(B25&lt;QUARTILE($B$5:$B$204,1)-1.5*(QUARTILE($B$5:$B$204,3)-QUARTILE($B$5:$B$204,1)),B25&gt;QUARTILE($B$5:$B$204,3)+1.5*(QUARTILE($B$5:$B$204,3)-QUARTILE($B$5:$B$204,1))),"Review","Within range")</f>
        <v/>
      </c>
      <c r="Q25" s="6">
        <f>IF(OR(C25&lt;QUARTILE($C$5:$C$204,1)-1.5*(QUARTILE($C$5:$C$204,3)-QUARTILE($C$5:$C$204,1)),C25&gt;QUARTILE($C$5:$C$204,3)+1.5*(QUARTILE($C$5:$C$204,3)-QUARTILE($C$5:$C$204,1))),"Review","Within range")</f>
        <v/>
      </c>
      <c r="R25" s="6">
        <f>IF(OR(D25&lt;QUARTILE($D$5:$D$204,1)-1.5*(QUARTILE($D$5:$D$204,3)-QUARTILE($D$5:$D$204,1)),D25&gt;QUARTILE($D$5:$D$204,3)+1.5*(QUARTILE($D$5:$D$204,3)-QUARTILE($D$5:$D$204,1))),"Review","Within range")</f>
        <v/>
      </c>
      <c r="S25" s="6">
        <f>IF(OR(E25&lt;QUARTILE($E$5:$E$204,1)-1.5*(QUARTILE($E$5:$E$204,3)-QUARTILE($E$5:$E$204,1)),E25&gt;QUARTILE($E$5:$E$204,3)+1.5*(QUARTILE($E$5:$E$204,3)-QUARTILE($E$5:$E$204,1))),"Review","Within range")</f>
        <v/>
      </c>
      <c r="T25" s="6">
        <f>IF(COUNTBLANK(A25:E25)&gt;0,"Missing value",IF(COUNTIF(B25:E25,"&lt;0")&gt;0,"Negative value",IF(COUNTIF($A$5:$A$204,A25)&gt;1,"Duplicate market ID",IF(OR(P25="Review",Q25="Review",R25="Review",S25="Review"),"Review outlier","OK"))))</f>
        <v/>
      </c>
    </row>
    <row r="26">
      <c r="A26" s="6">
        <f>Raw_Data!A26</f>
        <v/>
      </c>
      <c r="B26" s="7">
        <f>Raw_Data!B26</f>
        <v/>
      </c>
      <c r="C26" s="7">
        <f>Raw_Data!C26</f>
        <v/>
      </c>
      <c r="D26" s="7">
        <f>Raw_Data!D26</f>
        <v/>
      </c>
      <c r="E26" s="7">
        <f>Raw_Data!E26</f>
        <v/>
      </c>
      <c r="F26" s="7">
        <f>SUM(B26:D26)</f>
        <v/>
      </c>
      <c r="G26" s="8">
        <f>IFERROR(B26/F26,0)</f>
        <v/>
      </c>
      <c r="H26" s="8">
        <f>IFERROR(C26/F26,0)</f>
        <v/>
      </c>
      <c r="I26" s="8">
        <f>IFERROR(D26/F26,0)</f>
        <v/>
      </c>
      <c r="J26" s="9">
        <f>IFERROR(E26/F26,0)</f>
        <v/>
      </c>
      <c r="K26" s="9">
        <f>IFERROR((B26-AVERAGE($B$5:$B$204))/STDEV($B$5:$B$204),0)</f>
        <v/>
      </c>
      <c r="L26" s="9">
        <f>IFERROR((C26-AVERAGE($C$5:$C$204))/STDEV($C$5:$C$204),0)</f>
        <v/>
      </c>
      <c r="M26" s="9">
        <f>IFERROR((D26-AVERAGE($D$5:$D$204))/STDEV($D$5:$D$204),0)</f>
        <v/>
      </c>
      <c r="N26" s="9">
        <f>IFERROR((E26-AVERAGE($E$5:$E$204))/STDEV($E$5:$E$204),0)</f>
        <v/>
      </c>
      <c r="O26" s="9">
        <f>IFERROR((F26-AVERAGE($F$5:$F$204))/STDEV($F$5:$F$204),0)</f>
        <v/>
      </c>
      <c r="P26" s="6">
        <f>IF(OR(B26&lt;QUARTILE($B$5:$B$204,1)-1.5*(QUARTILE($B$5:$B$204,3)-QUARTILE($B$5:$B$204,1)),B26&gt;QUARTILE($B$5:$B$204,3)+1.5*(QUARTILE($B$5:$B$204,3)-QUARTILE($B$5:$B$204,1))),"Review","Within range")</f>
        <v/>
      </c>
      <c r="Q26" s="6">
        <f>IF(OR(C26&lt;QUARTILE($C$5:$C$204,1)-1.5*(QUARTILE($C$5:$C$204,3)-QUARTILE($C$5:$C$204,1)),C26&gt;QUARTILE($C$5:$C$204,3)+1.5*(QUARTILE($C$5:$C$204,3)-QUARTILE($C$5:$C$204,1))),"Review","Within range")</f>
        <v/>
      </c>
      <c r="R26" s="6">
        <f>IF(OR(D26&lt;QUARTILE($D$5:$D$204,1)-1.5*(QUARTILE($D$5:$D$204,3)-QUARTILE($D$5:$D$204,1)),D26&gt;QUARTILE($D$5:$D$204,3)+1.5*(QUARTILE($D$5:$D$204,3)-QUARTILE($D$5:$D$204,1))),"Review","Within range")</f>
        <v/>
      </c>
      <c r="S26" s="6">
        <f>IF(OR(E26&lt;QUARTILE($E$5:$E$204,1)-1.5*(QUARTILE($E$5:$E$204,3)-QUARTILE($E$5:$E$204,1)),E26&gt;QUARTILE($E$5:$E$204,3)+1.5*(QUARTILE($E$5:$E$204,3)-QUARTILE($E$5:$E$204,1))),"Review","Within range")</f>
        <v/>
      </c>
      <c r="T26" s="6">
        <f>IF(COUNTBLANK(A26:E26)&gt;0,"Missing value",IF(COUNTIF(B26:E26,"&lt;0")&gt;0,"Negative value",IF(COUNTIF($A$5:$A$204,A26)&gt;1,"Duplicate market ID",IF(OR(P26="Review",Q26="Review",R26="Review",S26="Review"),"Review outlier","OK"))))</f>
        <v/>
      </c>
    </row>
    <row r="27">
      <c r="A27" s="6">
        <f>Raw_Data!A27</f>
        <v/>
      </c>
      <c r="B27" s="7">
        <f>Raw_Data!B27</f>
        <v/>
      </c>
      <c r="C27" s="7">
        <f>Raw_Data!C27</f>
        <v/>
      </c>
      <c r="D27" s="7">
        <f>Raw_Data!D27</f>
        <v/>
      </c>
      <c r="E27" s="7">
        <f>Raw_Data!E27</f>
        <v/>
      </c>
      <c r="F27" s="7">
        <f>SUM(B27:D27)</f>
        <v/>
      </c>
      <c r="G27" s="8">
        <f>IFERROR(B27/F27,0)</f>
        <v/>
      </c>
      <c r="H27" s="8">
        <f>IFERROR(C27/F27,0)</f>
        <v/>
      </c>
      <c r="I27" s="8">
        <f>IFERROR(D27/F27,0)</f>
        <v/>
      </c>
      <c r="J27" s="9">
        <f>IFERROR(E27/F27,0)</f>
        <v/>
      </c>
      <c r="K27" s="9">
        <f>IFERROR((B27-AVERAGE($B$5:$B$204))/STDEV($B$5:$B$204),0)</f>
        <v/>
      </c>
      <c r="L27" s="9">
        <f>IFERROR((C27-AVERAGE($C$5:$C$204))/STDEV($C$5:$C$204),0)</f>
        <v/>
      </c>
      <c r="M27" s="9">
        <f>IFERROR((D27-AVERAGE($D$5:$D$204))/STDEV($D$5:$D$204),0)</f>
        <v/>
      </c>
      <c r="N27" s="9">
        <f>IFERROR((E27-AVERAGE($E$5:$E$204))/STDEV($E$5:$E$204),0)</f>
        <v/>
      </c>
      <c r="O27" s="9">
        <f>IFERROR((F27-AVERAGE($F$5:$F$204))/STDEV($F$5:$F$204),0)</f>
        <v/>
      </c>
      <c r="P27" s="6">
        <f>IF(OR(B27&lt;QUARTILE($B$5:$B$204,1)-1.5*(QUARTILE($B$5:$B$204,3)-QUARTILE($B$5:$B$204,1)),B27&gt;QUARTILE($B$5:$B$204,3)+1.5*(QUARTILE($B$5:$B$204,3)-QUARTILE($B$5:$B$204,1))),"Review","Within range")</f>
        <v/>
      </c>
      <c r="Q27" s="6">
        <f>IF(OR(C27&lt;QUARTILE($C$5:$C$204,1)-1.5*(QUARTILE($C$5:$C$204,3)-QUARTILE($C$5:$C$204,1)),C27&gt;QUARTILE($C$5:$C$204,3)+1.5*(QUARTILE($C$5:$C$204,3)-QUARTILE($C$5:$C$204,1))),"Review","Within range")</f>
        <v/>
      </c>
      <c r="R27" s="6">
        <f>IF(OR(D27&lt;QUARTILE($D$5:$D$204,1)-1.5*(QUARTILE($D$5:$D$204,3)-QUARTILE($D$5:$D$204,1)),D27&gt;QUARTILE($D$5:$D$204,3)+1.5*(QUARTILE($D$5:$D$204,3)-QUARTILE($D$5:$D$204,1))),"Review","Within range")</f>
        <v/>
      </c>
      <c r="S27" s="6">
        <f>IF(OR(E27&lt;QUARTILE($E$5:$E$204,1)-1.5*(QUARTILE($E$5:$E$204,3)-QUARTILE($E$5:$E$204,1)),E27&gt;QUARTILE($E$5:$E$204,3)+1.5*(QUARTILE($E$5:$E$204,3)-QUARTILE($E$5:$E$204,1))),"Review","Within range")</f>
        <v/>
      </c>
      <c r="T27" s="6">
        <f>IF(COUNTBLANK(A27:E27)&gt;0,"Missing value",IF(COUNTIF(B27:E27,"&lt;0")&gt;0,"Negative value",IF(COUNTIF($A$5:$A$204,A27)&gt;1,"Duplicate market ID",IF(OR(P27="Review",Q27="Review",R27="Review",S27="Review"),"Review outlier","OK"))))</f>
        <v/>
      </c>
    </row>
    <row r="28">
      <c r="A28" s="6">
        <f>Raw_Data!A28</f>
        <v/>
      </c>
      <c r="B28" s="7">
        <f>Raw_Data!B28</f>
        <v/>
      </c>
      <c r="C28" s="7">
        <f>Raw_Data!C28</f>
        <v/>
      </c>
      <c r="D28" s="7">
        <f>Raw_Data!D28</f>
        <v/>
      </c>
      <c r="E28" s="7">
        <f>Raw_Data!E28</f>
        <v/>
      </c>
      <c r="F28" s="7">
        <f>SUM(B28:D28)</f>
        <v/>
      </c>
      <c r="G28" s="8">
        <f>IFERROR(B28/F28,0)</f>
        <v/>
      </c>
      <c r="H28" s="8">
        <f>IFERROR(C28/F28,0)</f>
        <v/>
      </c>
      <c r="I28" s="8">
        <f>IFERROR(D28/F28,0)</f>
        <v/>
      </c>
      <c r="J28" s="9">
        <f>IFERROR(E28/F28,0)</f>
        <v/>
      </c>
      <c r="K28" s="9">
        <f>IFERROR((B28-AVERAGE($B$5:$B$204))/STDEV($B$5:$B$204),0)</f>
        <v/>
      </c>
      <c r="L28" s="9">
        <f>IFERROR((C28-AVERAGE($C$5:$C$204))/STDEV($C$5:$C$204),0)</f>
        <v/>
      </c>
      <c r="M28" s="9">
        <f>IFERROR((D28-AVERAGE($D$5:$D$204))/STDEV($D$5:$D$204),0)</f>
        <v/>
      </c>
      <c r="N28" s="9">
        <f>IFERROR((E28-AVERAGE($E$5:$E$204))/STDEV($E$5:$E$204),0)</f>
        <v/>
      </c>
      <c r="O28" s="9">
        <f>IFERROR((F28-AVERAGE($F$5:$F$204))/STDEV($F$5:$F$204),0)</f>
        <v/>
      </c>
      <c r="P28" s="6">
        <f>IF(OR(B28&lt;QUARTILE($B$5:$B$204,1)-1.5*(QUARTILE($B$5:$B$204,3)-QUARTILE($B$5:$B$204,1)),B28&gt;QUARTILE($B$5:$B$204,3)+1.5*(QUARTILE($B$5:$B$204,3)-QUARTILE($B$5:$B$204,1))),"Review","Within range")</f>
        <v/>
      </c>
      <c r="Q28" s="6">
        <f>IF(OR(C28&lt;QUARTILE($C$5:$C$204,1)-1.5*(QUARTILE($C$5:$C$204,3)-QUARTILE($C$5:$C$204,1)),C28&gt;QUARTILE($C$5:$C$204,3)+1.5*(QUARTILE($C$5:$C$204,3)-QUARTILE($C$5:$C$204,1))),"Review","Within range")</f>
        <v/>
      </c>
      <c r="R28" s="6">
        <f>IF(OR(D28&lt;QUARTILE($D$5:$D$204,1)-1.5*(QUARTILE($D$5:$D$204,3)-QUARTILE($D$5:$D$204,1)),D28&gt;QUARTILE($D$5:$D$204,3)+1.5*(QUARTILE($D$5:$D$204,3)-QUARTILE($D$5:$D$204,1))),"Review","Within range")</f>
        <v/>
      </c>
      <c r="S28" s="6">
        <f>IF(OR(E28&lt;QUARTILE($E$5:$E$204,1)-1.5*(QUARTILE($E$5:$E$204,3)-QUARTILE($E$5:$E$204,1)),E28&gt;QUARTILE($E$5:$E$204,3)+1.5*(QUARTILE($E$5:$E$204,3)-QUARTILE($E$5:$E$204,1))),"Review","Within range")</f>
        <v/>
      </c>
      <c r="T28" s="6">
        <f>IF(COUNTBLANK(A28:E28)&gt;0,"Missing value",IF(COUNTIF(B28:E28,"&lt;0")&gt;0,"Negative value",IF(COUNTIF($A$5:$A$204,A28)&gt;1,"Duplicate market ID",IF(OR(P28="Review",Q28="Review",R28="Review",S28="Review"),"Review outlier","OK"))))</f>
        <v/>
      </c>
    </row>
    <row r="29">
      <c r="A29" s="6">
        <f>Raw_Data!A29</f>
        <v/>
      </c>
      <c r="B29" s="7">
        <f>Raw_Data!B29</f>
        <v/>
      </c>
      <c r="C29" s="7">
        <f>Raw_Data!C29</f>
        <v/>
      </c>
      <c r="D29" s="7">
        <f>Raw_Data!D29</f>
        <v/>
      </c>
      <c r="E29" s="7">
        <f>Raw_Data!E29</f>
        <v/>
      </c>
      <c r="F29" s="7">
        <f>SUM(B29:D29)</f>
        <v/>
      </c>
      <c r="G29" s="8">
        <f>IFERROR(B29/F29,0)</f>
        <v/>
      </c>
      <c r="H29" s="8">
        <f>IFERROR(C29/F29,0)</f>
        <v/>
      </c>
      <c r="I29" s="8">
        <f>IFERROR(D29/F29,0)</f>
        <v/>
      </c>
      <c r="J29" s="9">
        <f>IFERROR(E29/F29,0)</f>
        <v/>
      </c>
      <c r="K29" s="9">
        <f>IFERROR((B29-AVERAGE($B$5:$B$204))/STDEV($B$5:$B$204),0)</f>
        <v/>
      </c>
      <c r="L29" s="9">
        <f>IFERROR((C29-AVERAGE($C$5:$C$204))/STDEV($C$5:$C$204),0)</f>
        <v/>
      </c>
      <c r="M29" s="9">
        <f>IFERROR((D29-AVERAGE($D$5:$D$204))/STDEV($D$5:$D$204),0)</f>
        <v/>
      </c>
      <c r="N29" s="9">
        <f>IFERROR((E29-AVERAGE($E$5:$E$204))/STDEV($E$5:$E$204),0)</f>
        <v/>
      </c>
      <c r="O29" s="9">
        <f>IFERROR((F29-AVERAGE($F$5:$F$204))/STDEV($F$5:$F$204),0)</f>
        <v/>
      </c>
      <c r="P29" s="6">
        <f>IF(OR(B29&lt;QUARTILE($B$5:$B$204,1)-1.5*(QUARTILE($B$5:$B$204,3)-QUARTILE($B$5:$B$204,1)),B29&gt;QUARTILE($B$5:$B$204,3)+1.5*(QUARTILE($B$5:$B$204,3)-QUARTILE($B$5:$B$204,1))),"Review","Within range")</f>
        <v/>
      </c>
      <c r="Q29" s="6">
        <f>IF(OR(C29&lt;QUARTILE($C$5:$C$204,1)-1.5*(QUARTILE($C$5:$C$204,3)-QUARTILE($C$5:$C$204,1)),C29&gt;QUARTILE($C$5:$C$204,3)+1.5*(QUARTILE($C$5:$C$204,3)-QUARTILE($C$5:$C$204,1))),"Review","Within range")</f>
        <v/>
      </c>
      <c r="R29" s="6">
        <f>IF(OR(D29&lt;QUARTILE($D$5:$D$204,1)-1.5*(QUARTILE($D$5:$D$204,3)-QUARTILE($D$5:$D$204,1)),D29&gt;QUARTILE($D$5:$D$204,3)+1.5*(QUARTILE($D$5:$D$204,3)-QUARTILE($D$5:$D$204,1))),"Review","Within range")</f>
        <v/>
      </c>
      <c r="S29" s="6">
        <f>IF(OR(E29&lt;QUARTILE($E$5:$E$204,1)-1.5*(QUARTILE($E$5:$E$204,3)-QUARTILE($E$5:$E$204,1)),E29&gt;QUARTILE($E$5:$E$204,3)+1.5*(QUARTILE($E$5:$E$204,3)-QUARTILE($E$5:$E$204,1))),"Review","Within range")</f>
        <v/>
      </c>
      <c r="T29" s="6">
        <f>IF(COUNTBLANK(A29:E29)&gt;0,"Missing value",IF(COUNTIF(B29:E29,"&lt;0")&gt;0,"Negative value",IF(COUNTIF($A$5:$A$204,A29)&gt;1,"Duplicate market ID",IF(OR(P29="Review",Q29="Review",R29="Review",S29="Review"),"Review outlier","OK"))))</f>
        <v/>
      </c>
    </row>
    <row r="30">
      <c r="A30" s="6">
        <f>Raw_Data!A30</f>
        <v/>
      </c>
      <c r="B30" s="7">
        <f>Raw_Data!B30</f>
        <v/>
      </c>
      <c r="C30" s="7">
        <f>Raw_Data!C30</f>
        <v/>
      </c>
      <c r="D30" s="7">
        <f>Raw_Data!D30</f>
        <v/>
      </c>
      <c r="E30" s="7">
        <f>Raw_Data!E30</f>
        <v/>
      </c>
      <c r="F30" s="7">
        <f>SUM(B30:D30)</f>
        <v/>
      </c>
      <c r="G30" s="8">
        <f>IFERROR(B30/F30,0)</f>
        <v/>
      </c>
      <c r="H30" s="8">
        <f>IFERROR(C30/F30,0)</f>
        <v/>
      </c>
      <c r="I30" s="8">
        <f>IFERROR(D30/F30,0)</f>
        <v/>
      </c>
      <c r="J30" s="9">
        <f>IFERROR(E30/F30,0)</f>
        <v/>
      </c>
      <c r="K30" s="9">
        <f>IFERROR((B30-AVERAGE($B$5:$B$204))/STDEV($B$5:$B$204),0)</f>
        <v/>
      </c>
      <c r="L30" s="9">
        <f>IFERROR((C30-AVERAGE($C$5:$C$204))/STDEV($C$5:$C$204),0)</f>
        <v/>
      </c>
      <c r="M30" s="9">
        <f>IFERROR((D30-AVERAGE($D$5:$D$204))/STDEV($D$5:$D$204),0)</f>
        <v/>
      </c>
      <c r="N30" s="9">
        <f>IFERROR((E30-AVERAGE($E$5:$E$204))/STDEV($E$5:$E$204),0)</f>
        <v/>
      </c>
      <c r="O30" s="9">
        <f>IFERROR((F30-AVERAGE($F$5:$F$204))/STDEV($F$5:$F$204),0)</f>
        <v/>
      </c>
      <c r="P30" s="6">
        <f>IF(OR(B30&lt;QUARTILE($B$5:$B$204,1)-1.5*(QUARTILE($B$5:$B$204,3)-QUARTILE($B$5:$B$204,1)),B30&gt;QUARTILE($B$5:$B$204,3)+1.5*(QUARTILE($B$5:$B$204,3)-QUARTILE($B$5:$B$204,1))),"Review","Within range")</f>
        <v/>
      </c>
      <c r="Q30" s="6">
        <f>IF(OR(C30&lt;QUARTILE($C$5:$C$204,1)-1.5*(QUARTILE($C$5:$C$204,3)-QUARTILE($C$5:$C$204,1)),C30&gt;QUARTILE($C$5:$C$204,3)+1.5*(QUARTILE($C$5:$C$204,3)-QUARTILE($C$5:$C$204,1))),"Review","Within range")</f>
        <v/>
      </c>
      <c r="R30" s="6">
        <f>IF(OR(D30&lt;QUARTILE($D$5:$D$204,1)-1.5*(QUARTILE($D$5:$D$204,3)-QUARTILE($D$5:$D$204,1)),D30&gt;QUARTILE($D$5:$D$204,3)+1.5*(QUARTILE($D$5:$D$204,3)-QUARTILE($D$5:$D$204,1))),"Review","Within range")</f>
        <v/>
      </c>
      <c r="S30" s="6">
        <f>IF(OR(E30&lt;QUARTILE($E$5:$E$204,1)-1.5*(QUARTILE($E$5:$E$204,3)-QUARTILE($E$5:$E$204,1)),E30&gt;QUARTILE($E$5:$E$204,3)+1.5*(QUARTILE($E$5:$E$204,3)-QUARTILE($E$5:$E$204,1))),"Review","Within range")</f>
        <v/>
      </c>
      <c r="T30" s="6">
        <f>IF(COUNTBLANK(A30:E30)&gt;0,"Missing value",IF(COUNTIF(B30:E30,"&lt;0")&gt;0,"Negative value",IF(COUNTIF($A$5:$A$204,A30)&gt;1,"Duplicate market ID",IF(OR(P30="Review",Q30="Review",R30="Review",S30="Review"),"Review outlier","OK"))))</f>
        <v/>
      </c>
    </row>
    <row r="31">
      <c r="A31" s="6">
        <f>Raw_Data!A31</f>
        <v/>
      </c>
      <c r="B31" s="7">
        <f>Raw_Data!B31</f>
        <v/>
      </c>
      <c r="C31" s="7">
        <f>Raw_Data!C31</f>
        <v/>
      </c>
      <c r="D31" s="7">
        <f>Raw_Data!D31</f>
        <v/>
      </c>
      <c r="E31" s="7">
        <f>Raw_Data!E31</f>
        <v/>
      </c>
      <c r="F31" s="7">
        <f>SUM(B31:D31)</f>
        <v/>
      </c>
      <c r="G31" s="8">
        <f>IFERROR(B31/F31,0)</f>
        <v/>
      </c>
      <c r="H31" s="8">
        <f>IFERROR(C31/F31,0)</f>
        <v/>
      </c>
      <c r="I31" s="8">
        <f>IFERROR(D31/F31,0)</f>
        <v/>
      </c>
      <c r="J31" s="9">
        <f>IFERROR(E31/F31,0)</f>
        <v/>
      </c>
      <c r="K31" s="9">
        <f>IFERROR((B31-AVERAGE($B$5:$B$204))/STDEV($B$5:$B$204),0)</f>
        <v/>
      </c>
      <c r="L31" s="9">
        <f>IFERROR((C31-AVERAGE($C$5:$C$204))/STDEV($C$5:$C$204),0)</f>
        <v/>
      </c>
      <c r="M31" s="9">
        <f>IFERROR((D31-AVERAGE($D$5:$D$204))/STDEV($D$5:$D$204),0)</f>
        <v/>
      </c>
      <c r="N31" s="9">
        <f>IFERROR((E31-AVERAGE($E$5:$E$204))/STDEV($E$5:$E$204),0)</f>
        <v/>
      </c>
      <c r="O31" s="9">
        <f>IFERROR((F31-AVERAGE($F$5:$F$204))/STDEV($F$5:$F$204),0)</f>
        <v/>
      </c>
      <c r="P31" s="6">
        <f>IF(OR(B31&lt;QUARTILE($B$5:$B$204,1)-1.5*(QUARTILE($B$5:$B$204,3)-QUARTILE($B$5:$B$204,1)),B31&gt;QUARTILE($B$5:$B$204,3)+1.5*(QUARTILE($B$5:$B$204,3)-QUARTILE($B$5:$B$204,1))),"Review","Within range")</f>
        <v/>
      </c>
      <c r="Q31" s="6">
        <f>IF(OR(C31&lt;QUARTILE($C$5:$C$204,1)-1.5*(QUARTILE($C$5:$C$204,3)-QUARTILE($C$5:$C$204,1)),C31&gt;QUARTILE($C$5:$C$204,3)+1.5*(QUARTILE($C$5:$C$204,3)-QUARTILE($C$5:$C$204,1))),"Review","Within range")</f>
        <v/>
      </c>
      <c r="R31" s="6">
        <f>IF(OR(D31&lt;QUARTILE($D$5:$D$204,1)-1.5*(QUARTILE($D$5:$D$204,3)-QUARTILE($D$5:$D$204,1)),D31&gt;QUARTILE($D$5:$D$204,3)+1.5*(QUARTILE($D$5:$D$204,3)-QUARTILE($D$5:$D$204,1))),"Review","Within range")</f>
        <v/>
      </c>
      <c r="S31" s="6">
        <f>IF(OR(E31&lt;QUARTILE($E$5:$E$204,1)-1.5*(QUARTILE($E$5:$E$204,3)-QUARTILE($E$5:$E$204,1)),E31&gt;QUARTILE($E$5:$E$204,3)+1.5*(QUARTILE($E$5:$E$204,3)-QUARTILE($E$5:$E$204,1))),"Review","Within range")</f>
        <v/>
      </c>
      <c r="T31" s="6">
        <f>IF(COUNTBLANK(A31:E31)&gt;0,"Missing value",IF(COUNTIF(B31:E31,"&lt;0")&gt;0,"Negative value",IF(COUNTIF($A$5:$A$204,A31)&gt;1,"Duplicate market ID",IF(OR(P31="Review",Q31="Review",R31="Review",S31="Review"),"Review outlier","OK"))))</f>
        <v/>
      </c>
    </row>
    <row r="32">
      <c r="A32" s="6">
        <f>Raw_Data!A32</f>
        <v/>
      </c>
      <c r="B32" s="7">
        <f>Raw_Data!B32</f>
        <v/>
      </c>
      <c r="C32" s="7">
        <f>Raw_Data!C32</f>
        <v/>
      </c>
      <c r="D32" s="7">
        <f>Raw_Data!D32</f>
        <v/>
      </c>
      <c r="E32" s="7">
        <f>Raw_Data!E32</f>
        <v/>
      </c>
      <c r="F32" s="7">
        <f>SUM(B32:D32)</f>
        <v/>
      </c>
      <c r="G32" s="8">
        <f>IFERROR(B32/F32,0)</f>
        <v/>
      </c>
      <c r="H32" s="8">
        <f>IFERROR(C32/F32,0)</f>
        <v/>
      </c>
      <c r="I32" s="8">
        <f>IFERROR(D32/F32,0)</f>
        <v/>
      </c>
      <c r="J32" s="9">
        <f>IFERROR(E32/F32,0)</f>
        <v/>
      </c>
      <c r="K32" s="9">
        <f>IFERROR((B32-AVERAGE($B$5:$B$204))/STDEV($B$5:$B$204),0)</f>
        <v/>
      </c>
      <c r="L32" s="9">
        <f>IFERROR((C32-AVERAGE($C$5:$C$204))/STDEV($C$5:$C$204),0)</f>
        <v/>
      </c>
      <c r="M32" s="9">
        <f>IFERROR((D32-AVERAGE($D$5:$D$204))/STDEV($D$5:$D$204),0)</f>
        <v/>
      </c>
      <c r="N32" s="9">
        <f>IFERROR((E32-AVERAGE($E$5:$E$204))/STDEV($E$5:$E$204),0)</f>
        <v/>
      </c>
      <c r="O32" s="9">
        <f>IFERROR((F32-AVERAGE($F$5:$F$204))/STDEV($F$5:$F$204),0)</f>
        <v/>
      </c>
      <c r="P32" s="6">
        <f>IF(OR(B32&lt;QUARTILE($B$5:$B$204,1)-1.5*(QUARTILE($B$5:$B$204,3)-QUARTILE($B$5:$B$204,1)),B32&gt;QUARTILE($B$5:$B$204,3)+1.5*(QUARTILE($B$5:$B$204,3)-QUARTILE($B$5:$B$204,1))),"Review","Within range")</f>
        <v/>
      </c>
      <c r="Q32" s="6">
        <f>IF(OR(C32&lt;QUARTILE($C$5:$C$204,1)-1.5*(QUARTILE($C$5:$C$204,3)-QUARTILE($C$5:$C$204,1)),C32&gt;QUARTILE($C$5:$C$204,3)+1.5*(QUARTILE($C$5:$C$204,3)-QUARTILE($C$5:$C$204,1))),"Review","Within range")</f>
        <v/>
      </c>
      <c r="R32" s="6">
        <f>IF(OR(D32&lt;QUARTILE($D$5:$D$204,1)-1.5*(QUARTILE($D$5:$D$204,3)-QUARTILE($D$5:$D$204,1)),D32&gt;QUARTILE($D$5:$D$204,3)+1.5*(QUARTILE($D$5:$D$204,3)-QUARTILE($D$5:$D$204,1))),"Review","Within range")</f>
        <v/>
      </c>
      <c r="S32" s="6">
        <f>IF(OR(E32&lt;QUARTILE($E$5:$E$204,1)-1.5*(QUARTILE($E$5:$E$204,3)-QUARTILE($E$5:$E$204,1)),E32&gt;QUARTILE($E$5:$E$204,3)+1.5*(QUARTILE($E$5:$E$204,3)-QUARTILE($E$5:$E$204,1))),"Review","Within range")</f>
        <v/>
      </c>
      <c r="T32" s="6">
        <f>IF(COUNTBLANK(A32:E32)&gt;0,"Missing value",IF(COUNTIF(B32:E32,"&lt;0")&gt;0,"Negative value",IF(COUNTIF($A$5:$A$204,A32)&gt;1,"Duplicate market ID",IF(OR(P32="Review",Q32="Review",R32="Review",S32="Review"),"Review outlier","OK"))))</f>
        <v/>
      </c>
    </row>
    <row r="33">
      <c r="A33" s="6">
        <f>Raw_Data!A33</f>
        <v/>
      </c>
      <c r="B33" s="7">
        <f>Raw_Data!B33</f>
        <v/>
      </c>
      <c r="C33" s="7">
        <f>Raw_Data!C33</f>
        <v/>
      </c>
      <c r="D33" s="7">
        <f>Raw_Data!D33</f>
        <v/>
      </c>
      <c r="E33" s="7">
        <f>Raw_Data!E33</f>
        <v/>
      </c>
      <c r="F33" s="7">
        <f>SUM(B33:D33)</f>
        <v/>
      </c>
      <c r="G33" s="8">
        <f>IFERROR(B33/F33,0)</f>
        <v/>
      </c>
      <c r="H33" s="8">
        <f>IFERROR(C33/F33,0)</f>
        <v/>
      </c>
      <c r="I33" s="8">
        <f>IFERROR(D33/F33,0)</f>
        <v/>
      </c>
      <c r="J33" s="9">
        <f>IFERROR(E33/F33,0)</f>
        <v/>
      </c>
      <c r="K33" s="9">
        <f>IFERROR((B33-AVERAGE($B$5:$B$204))/STDEV($B$5:$B$204),0)</f>
        <v/>
      </c>
      <c r="L33" s="9">
        <f>IFERROR((C33-AVERAGE($C$5:$C$204))/STDEV($C$5:$C$204),0)</f>
        <v/>
      </c>
      <c r="M33" s="9">
        <f>IFERROR((D33-AVERAGE($D$5:$D$204))/STDEV($D$5:$D$204),0)</f>
        <v/>
      </c>
      <c r="N33" s="9">
        <f>IFERROR((E33-AVERAGE($E$5:$E$204))/STDEV($E$5:$E$204),0)</f>
        <v/>
      </c>
      <c r="O33" s="9">
        <f>IFERROR((F33-AVERAGE($F$5:$F$204))/STDEV($F$5:$F$204),0)</f>
        <v/>
      </c>
      <c r="P33" s="6">
        <f>IF(OR(B33&lt;QUARTILE($B$5:$B$204,1)-1.5*(QUARTILE($B$5:$B$204,3)-QUARTILE($B$5:$B$204,1)),B33&gt;QUARTILE($B$5:$B$204,3)+1.5*(QUARTILE($B$5:$B$204,3)-QUARTILE($B$5:$B$204,1))),"Review","Within range")</f>
        <v/>
      </c>
      <c r="Q33" s="6">
        <f>IF(OR(C33&lt;QUARTILE($C$5:$C$204,1)-1.5*(QUARTILE($C$5:$C$204,3)-QUARTILE($C$5:$C$204,1)),C33&gt;QUARTILE($C$5:$C$204,3)+1.5*(QUARTILE($C$5:$C$204,3)-QUARTILE($C$5:$C$204,1))),"Review","Within range")</f>
        <v/>
      </c>
      <c r="R33" s="6">
        <f>IF(OR(D33&lt;QUARTILE($D$5:$D$204,1)-1.5*(QUARTILE($D$5:$D$204,3)-QUARTILE($D$5:$D$204,1)),D33&gt;QUARTILE($D$5:$D$204,3)+1.5*(QUARTILE($D$5:$D$204,3)-QUARTILE($D$5:$D$204,1))),"Review","Within range")</f>
        <v/>
      </c>
      <c r="S33" s="6">
        <f>IF(OR(E33&lt;QUARTILE($E$5:$E$204,1)-1.5*(QUARTILE($E$5:$E$204,3)-QUARTILE($E$5:$E$204,1)),E33&gt;QUARTILE($E$5:$E$204,3)+1.5*(QUARTILE($E$5:$E$204,3)-QUARTILE($E$5:$E$204,1))),"Review","Within range")</f>
        <v/>
      </c>
      <c r="T33" s="6">
        <f>IF(COUNTBLANK(A33:E33)&gt;0,"Missing value",IF(COUNTIF(B33:E33,"&lt;0")&gt;0,"Negative value",IF(COUNTIF($A$5:$A$204,A33)&gt;1,"Duplicate market ID",IF(OR(P33="Review",Q33="Review",R33="Review",S33="Review"),"Review outlier","OK"))))</f>
        <v/>
      </c>
    </row>
    <row r="34">
      <c r="A34" s="6">
        <f>Raw_Data!A34</f>
        <v/>
      </c>
      <c r="B34" s="7">
        <f>Raw_Data!B34</f>
        <v/>
      </c>
      <c r="C34" s="7">
        <f>Raw_Data!C34</f>
        <v/>
      </c>
      <c r="D34" s="7">
        <f>Raw_Data!D34</f>
        <v/>
      </c>
      <c r="E34" s="7">
        <f>Raw_Data!E34</f>
        <v/>
      </c>
      <c r="F34" s="7">
        <f>SUM(B34:D34)</f>
        <v/>
      </c>
      <c r="G34" s="8">
        <f>IFERROR(B34/F34,0)</f>
        <v/>
      </c>
      <c r="H34" s="8">
        <f>IFERROR(C34/F34,0)</f>
        <v/>
      </c>
      <c r="I34" s="8">
        <f>IFERROR(D34/F34,0)</f>
        <v/>
      </c>
      <c r="J34" s="9">
        <f>IFERROR(E34/F34,0)</f>
        <v/>
      </c>
      <c r="K34" s="9">
        <f>IFERROR((B34-AVERAGE($B$5:$B$204))/STDEV($B$5:$B$204),0)</f>
        <v/>
      </c>
      <c r="L34" s="9">
        <f>IFERROR((C34-AVERAGE($C$5:$C$204))/STDEV($C$5:$C$204),0)</f>
        <v/>
      </c>
      <c r="M34" s="9">
        <f>IFERROR((D34-AVERAGE($D$5:$D$204))/STDEV($D$5:$D$204),0)</f>
        <v/>
      </c>
      <c r="N34" s="9">
        <f>IFERROR((E34-AVERAGE($E$5:$E$204))/STDEV($E$5:$E$204),0)</f>
        <v/>
      </c>
      <c r="O34" s="9">
        <f>IFERROR((F34-AVERAGE($F$5:$F$204))/STDEV($F$5:$F$204),0)</f>
        <v/>
      </c>
      <c r="P34" s="6">
        <f>IF(OR(B34&lt;QUARTILE($B$5:$B$204,1)-1.5*(QUARTILE($B$5:$B$204,3)-QUARTILE($B$5:$B$204,1)),B34&gt;QUARTILE($B$5:$B$204,3)+1.5*(QUARTILE($B$5:$B$204,3)-QUARTILE($B$5:$B$204,1))),"Review","Within range")</f>
        <v/>
      </c>
      <c r="Q34" s="6">
        <f>IF(OR(C34&lt;QUARTILE($C$5:$C$204,1)-1.5*(QUARTILE($C$5:$C$204,3)-QUARTILE($C$5:$C$204,1)),C34&gt;QUARTILE($C$5:$C$204,3)+1.5*(QUARTILE($C$5:$C$204,3)-QUARTILE($C$5:$C$204,1))),"Review","Within range")</f>
        <v/>
      </c>
      <c r="R34" s="6">
        <f>IF(OR(D34&lt;QUARTILE($D$5:$D$204,1)-1.5*(QUARTILE($D$5:$D$204,3)-QUARTILE($D$5:$D$204,1)),D34&gt;QUARTILE($D$5:$D$204,3)+1.5*(QUARTILE($D$5:$D$204,3)-QUARTILE($D$5:$D$204,1))),"Review","Within range")</f>
        <v/>
      </c>
      <c r="S34" s="6">
        <f>IF(OR(E34&lt;QUARTILE($E$5:$E$204,1)-1.5*(QUARTILE($E$5:$E$204,3)-QUARTILE($E$5:$E$204,1)),E34&gt;QUARTILE($E$5:$E$204,3)+1.5*(QUARTILE($E$5:$E$204,3)-QUARTILE($E$5:$E$204,1))),"Review","Within range")</f>
        <v/>
      </c>
      <c r="T34" s="6">
        <f>IF(COUNTBLANK(A34:E34)&gt;0,"Missing value",IF(COUNTIF(B34:E34,"&lt;0")&gt;0,"Negative value",IF(COUNTIF($A$5:$A$204,A34)&gt;1,"Duplicate market ID",IF(OR(P34="Review",Q34="Review",R34="Review",S34="Review"),"Review outlier","OK"))))</f>
        <v/>
      </c>
    </row>
    <row r="35">
      <c r="A35" s="6">
        <f>Raw_Data!A35</f>
        <v/>
      </c>
      <c r="B35" s="7">
        <f>Raw_Data!B35</f>
        <v/>
      </c>
      <c r="C35" s="7">
        <f>Raw_Data!C35</f>
        <v/>
      </c>
      <c r="D35" s="7">
        <f>Raw_Data!D35</f>
        <v/>
      </c>
      <c r="E35" s="7">
        <f>Raw_Data!E35</f>
        <v/>
      </c>
      <c r="F35" s="7">
        <f>SUM(B35:D35)</f>
        <v/>
      </c>
      <c r="G35" s="8">
        <f>IFERROR(B35/F35,0)</f>
        <v/>
      </c>
      <c r="H35" s="8">
        <f>IFERROR(C35/F35,0)</f>
        <v/>
      </c>
      <c r="I35" s="8">
        <f>IFERROR(D35/F35,0)</f>
        <v/>
      </c>
      <c r="J35" s="9">
        <f>IFERROR(E35/F35,0)</f>
        <v/>
      </c>
      <c r="K35" s="9">
        <f>IFERROR((B35-AVERAGE($B$5:$B$204))/STDEV($B$5:$B$204),0)</f>
        <v/>
      </c>
      <c r="L35" s="9">
        <f>IFERROR((C35-AVERAGE($C$5:$C$204))/STDEV($C$5:$C$204),0)</f>
        <v/>
      </c>
      <c r="M35" s="9">
        <f>IFERROR((D35-AVERAGE($D$5:$D$204))/STDEV($D$5:$D$204),0)</f>
        <v/>
      </c>
      <c r="N35" s="9">
        <f>IFERROR((E35-AVERAGE($E$5:$E$204))/STDEV($E$5:$E$204),0)</f>
        <v/>
      </c>
      <c r="O35" s="9">
        <f>IFERROR((F35-AVERAGE($F$5:$F$204))/STDEV($F$5:$F$204),0)</f>
        <v/>
      </c>
      <c r="P35" s="6">
        <f>IF(OR(B35&lt;QUARTILE($B$5:$B$204,1)-1.5*(QUARTILE($B$5:$B$204,3)-QUARTILE($B$5:$B$204,1)),B35&gt;QUARTILE($B$5:$B$204,3)+1.5*(QUARTILE($B$5:$B$204,3)-QUARTILE($B$5:$B$204,1))),"Review","Within range")</f>
        <v/>
      </c>
      <c r="Q35" s="6">
        <f>IF(OR(C35&lt;QUARTILE($C$5:$C$204,1)-1.5*(QUARTILE($C$5:$C$204,3)-QUARTILE($C$5:$C$204,1)),C35&gt;QUARTILE($C$5:$C$204,3)+1.5*(QUARTILE($C$5:$C$204,3)-QUARTILE($C$5:$C$204,1))),"Review","Within range")</f>
        <v/>
      </c>
      <c r="R35" s="6">
        <f>IF(OR(D35&lt;QUARTILE($D$5:$D$204,1)-1.5*(QUARTILE($D$5:$D$204,3)-QUARTILE($D$5:$D$204,1)),D35&gt;QUARTILE($D$5:$D$204,3)+1.5*(QUARTILE($D$5:$D$204,3)-QUARTILE($D$5:$D$204,1))),"Review","Within range")</f>
        <v/>
      </c>
      <c r="S35" s="6">
        <f>IF(OR(E35&lt;QUARTILE($E$5:$E$204,1)-1.5*(QUARTILE($E$5:$E$204,3)-QUARTILE($E$5:$E$204,1)),E35&gt;QUARTILE($E$5:$E$204,3)+1.5*(QUARTILE($E$5:$E$204,3)-QUARTILE($E$5:$E$204,1))),"Review","Within range")</f>
        <v/>
      </c>
      <c r="T35" s="6">
        <f>IF(COUNTBLANK(A35:E35)&gt;0,"Missing value",IF(COUNTIF(B35:E35,"&lt;0")&gt;0,"Negative value",IF(COUNTIF($A$5:$A$204,A35)&gt;1,"Duplicate market ID",IF(OR(P35="Review",Q35="Review",R35="Review",S35="Review"),"Review outlier","OK"))))</f>
        <v/>
      </c>
    </row>
    <row r="36">
      <c r="A36" s="6">
        <f>Raw_Data!A36</f>
        <v/>
      </c>
      <c r="B36" s="7">
        <f>Raw_Data!B36</f>
        <v/>
      </c>
      <c r="C36" s="7">
        <f>Raw_Data!C36</f>
        <v/>
      </c>
      <c r="D36" s="7">
        <f>Raw_Data!D36</f>
        <v/>
      </c>
      <c r="E36" s="7">
        <f>Raw_Data!E36</f>
        <v/>
      </c>
      <c r="F36" s="7">
        <f>SUM(B36:D36)</f>
        <v/>
      </c>
      <c r="G36" s="8">
        <f>IFERROR(B36/F36,0)</f>
        <v/>
      </c>
      <c r="H36" s="8">
        <f>IFERROR(C36/F36,0)</f>
        <v/>
      </c>
      <c r="I36" s="8">
        <f>IFERROR(D36/F36,0)</f>
        <v/>
      </c>
      <c r="J36" s="9">
        <f>IFERROR(E36/F36,0)</f>
        <v/>
      </c>
      <c r="K36" s="9">
        <f>IFERROR((B36-AVERAGE($B$5:$B$204))/STDEV($B$5:$B$204),0)</f>
        <v/>
      </c>
      <c r="L36" s="9">
        <f>IFERROR((C36-AVERAGE($C$5:$C$204))/STDEV($C$5:$C$204),0)</f>
        <v/>
      </c>
      <c r="M36" s="9">
        <f>IFERROR((D36-AVERAGE($D$5:$D$204))/STDEV($D$5:$D$204),0)</f>
        <v/>
      </c>
      <c r="N36" s="9">
        <f>IFERROR((E36-AVERAGE($E$5:$E$204))/STDEV($E$5:$E$204),0)</f>
        <v/>
      </c>
      <c r="O36" s="9">
        <f>IFERROR((F36-AVERAGE($F$5:$F$204))/STDEV($F$5:$F$204),0)</f>
        <v/>
      </c>
      <c r="P36" s="6">
        <f>IF(OR(B36&lt;QUARTILE($B$5:$B$204,1)-1.5*(QUARTILE($B$5:$B$204,3)-QUARTILE($B$5:$B$204,1)),B36&gt;QUARTILE($B$5:$B$204,3)+1.5*(QUARTILE($B$5:$B$204,3)-QUARTILE($B$5:$B$204,1))),"Review","Within range")</f>
        <v/>
      </c>
      <c r="Q36" s="6">
        <f>IF(OR(C36&lt;QUARTILE($C$5:$C$204,1)-1.5*(QUARTILE($C$5:$C$204,3)-QUARTILE($C$5:$C$204,1)),C36&gt;QUARTILE($C$5:$C$204,3)+1.5*(QUARTILE($C$5:$C$204,3)-QUARTILE($C$5:$C$204,1))),"Review","Within range")</f>
        <v/>
      </c>
      <c r="R36" s="6">
        <f>IF(OR(D36&lt;QUARTILE($D$5:$D$204,1)-1.5*(QUARTILE($D$5:$D$204,3)-QUARTILE($D$5:$D$204,1)),D36&gt;QUARTILE($D$5:$D$204,3)+1.5*(QUARTILE($D$5:$D$204,3)-QUARTILE($D$5:$D$204,1))),"Review","Within range")</f>
        <v/>
      </c>
      <c r="S36" s="6">
        <f>IF(OR(E36&lt;QUARTILE($E$5:$E$204,1)-1.5*(QUARTILE($E$5:$E$204,3)-QUARTILE($E$5:$E$204,1)),E36&gt;QUARTILE($E$5:$E$204,3)+1.5*(QUARTILE($E$5:$E$204,3)-QUARTILE($E$5:$E$204,1))),"Review","Within range")</f>
        <v/>
      </c>
      <c r="T36" s="6">
        <f>IF(COUNTBLANK(A36:E36)&gt;0,"Missing value",IF(COUNTIF(B36:E36,"&lt;0")&gt;0,"Negative value",IF(COUNTIF($A$5:$A$204,A36)&gt;1,"Duplicate market ID",IF(OR(P36="Review",Q36="Review",R36="Review",S36="Review"),"Review outlier","OK"))))</f>
        <v/>
      </c>
    </row>
    <row r="37">
      <c r="A37" s="6">
        <f>Raw_Data!A37</f>
        <v/>
      </c>
      <c r="B37" s="7">
        <f>Raw_Data!B37</f>
        <v/>
      </c>
      <c r="C37" s="7">
        <f>Raw_Data!C37</f>
        <v/>
      </c>
      <c r="D37" s="7">
        <f>Raw_Data!D37</f>
        <v/>
      </c>
      <c r="E37" s="7">
        <f>Raw_Data!E37</f>
        <v/>
      </c>
      <c r="F37" s="7">
        <f>SUM(B37:D37)</f>
        <v/>
      </c>
      <c r="G37" s="8">
        <f>IFERROR(B37/F37,0)</f>
        <v/>
      </c>
      <c r="H37" s="8">
        <f>IFERROR(C37/F37,0)</f>
        <v/>
      </c>
      <c r="I37" s="8">
        <f>IFERROR(D37/F37,0)</f>
        <v/>
      </c>
      <c r="J37" s="9">
        <f>IFERROR(E37/F37,0)</f>
        <v/>
      </c>
      <c r="K37" s="9">
        <f>IFERROR((B37-AVERAGE($B$5:$B$204))/STDEV($B$5:$B$204),0)</f>
        <v/>
      </c>
      <c r="L37" s="9">
        <f>IFERROR((C37-AVERAGE($C$5:$C$204))/STDEV($C$5:$C$204),0)</f>
        <v/>
      </c>
      <c r="M37" s="9">
        <f>IFERROR((D37-AVERAGE($D$5:$D$204))/STDEV($D$5:$D$204),0)</f>
        <v/>
      </c>
      <c r="N37" s="9">
        <f>IFERROR((E37-AVERAGE($E$5:$E$204))/STDEV($E$5:$E$204),0)</f>
        <v/>
      </c>
      <c r="O37" s="9">
        <f>IFERROR((F37-AVERAGE($F$5:$F$204))/STDEV($F$5:$F$204),0)</f>
        <v/>
      </c>
      <c r="P37" s="6">
        <f>IF(OR(B37&lt;QUARTILE($B$5:$B$204,1)-1.5*(QUARTILE($B$5:$B$204,3)-QUARTILE($B$5:$B$204,1)),B37&gt;QUARTILE($B$5:$B$204,3)+1.5*(QUARTILE($B$5:$B$204,3)-QUARTILE($B$5:$B$204,1))),"Review","Within range")</f>
        <v/>
      </c>
      <c r="Q37" s="6">
        <f>IF(OR(C37&lt;QUARTILE($C$5:$C$204,1)-1.5*(QUARTILE($C$5:$C$204,3)-QUARTILE($C$5:$C$204,1)),C37&gt;QUARTILE($C$5:$C$204,3)+1.5*(QUARTILE($C$5:$C$204,3)-QUARTILE($C$5:$C$204,1))),"Review","Within range")</f>
        <v/>
      </c>
      <c r="R37" s="6">
        <f>IF(OR(D37&lt;QUARTILE($D$5:$D$204,1)-1.5*(QUARTILE($D$5:$D$204,3)-QUARTILE($D$5:$D$204,1)),D37&gt;QUARTILE($D$5:$D$204,3)+1.5*(QUARTILE($D$5:$D$204,3)-QUARTILE($D$5:$D$204,1))),"Review","Within range")</f>
        <v/>
      </c>
      <c r="S37" s="6">
        <f>IF(OR(E37&lt;QUARTILE($E$5:$E$204,1)-1.5*(QUARTILE($E$5:$E$204,3)-QUARTILE($E$5:$E$204,1)),E37&gt;QUARTILE($E$5:$E$204,3)+1.5*(QUARTILE($E$5:$E$204,3)-QUARTILE($E$5:$E$204,1))),"Review","Within range")</f>
        <v/>
      </c>
      <c r="T37" s="6">
        <f>IF(COUNTBLANK(A37:E37)&gt;0,"Missing value",IF(COUNTIF(B37:E37,"&lt;0")&gt;0,"Negative value",IF(COUNTIF($A$5:$A$204,A37)&gt;1,"Duplicate market ID",IF(OR(P37="Review",Q37="Review",R37="Review",S37="Review"),"Review outlier","OK"))))</f>
        <v/>
      </c>
    </row>
    <row r="38">
      <c r="A38" s="6">
        <f>Raw_Data!A38</f>
        <v/>
      </c>
      <c r="B38" s="7">
        <f>Raw_Data!B38</f>
        <v/>
      </c>
      <c r="C38" s="7">
        <f>Raw_Data!C38</f>
        <v/>
      </c>
      <c r="D38" s="7">
        <f>Raw_Data!D38</f>
        <v/>
      </c>
      <c r="E38" s="7">
        <f>Raw_Data!E38</f>
        <v/>
      </c>
      <c r="F38" s="7">
        <f>SUM(B38:D38)</f>
        <v/>
      </c>
      <c r="G38" s="8">
        <f>IFERROR(B38/F38,0)</f>
        <v/>
      </c>
      <c r="H38" s="8">
        <f>IFERROR(C38/F38,0)</f>
        <v/>
      </c>
      <c r="I38" s="8">
        <f>IFERROR(D38/F38,0)</f>
        <v/>
      </c>
      <c r="J38" s="9">
        <f>IFERROR(E38/F38,0)</f>
        <v/>
      </c>
      <c r="K38" s="9">
        <f>IFERROR((B38-AVERAGE($B$5:$B$204))/STDEV($B$5:$B$204),0)</f>
        <v/>
      </c>
      <c r="L38" s="9">
        <f>IFERROR((C38-AVERAGE($C$5:$C$204))/STDEV($C$5:$C$204),0)</f>
        <v/>
      </c>
      <c r="M38" s="9">
        <f>IFERROR((D38-AVERAGE($D$5:$D$204))/STDEV($D$5:$D$204),0)</f>
        <v/>
      </c>
      <c r="N38" s="9">
        <f>IFERROR((E38-AVERAGE($E$5:$E$204))/STDEV($E$5:$E$204),0)</f>
        <v/>
      </c>
      <c r="O38" s="9">
        <f>IFERROR((F38-AVERAGE($F$5:$F$204))/STDEV($F$5:$F$204),0)</f>
        <v/>
      </c>
      <c r="P38" s="6">
        <f>IF(OR(B38&lt;QUARTILE($B$5:$B$204,1)-1.5*(QUARTILE($B$5:$B$204,3)-QUARTILE($B$5:$B$204,1)),B38&gt;QUARTILE($B$5:$B$204,3)+1.5*(QUARTILE($B$5:$B$204,3)-QUARTILE($B$5:$B$204,1))),"Review","Within range")</f>
        <v/>
      </c>
      <c r="Q38" s="6">
        <f>IF(OR(C38&lt;QUARTILE($C$5:$C$204,1)-1.5*(QUARTILE($C$5:$C$204,3)-QUARTILE($C$5:$C$204,1)),C38&gt;QUARTILE($C$5:$C$204,3)+1.5*(QUARTILE($C$5:$C$204,3)-QUARTILE($C$5:$C$204,1))),"Review","Within range")</f>
        <v/>
      </c>
      <c r="R38" s="6">
        <f>IF(OR(D38&lt;QUARTILE($D$5:$D$204,1)-1.5*(QUARTILE($D$5:$D$204,3)-QUARTILE($D$5:$D$204,1)),D38&gt;QUARTILE($D$5:$D$204,3)+1.5*(QUARTILE($D$5:$D$204,3)-QUARTILE($D$5:$D$204,1))),"Review","Within range")</f>
        <v/>
      </c>
      <c r="S38" s="6">
        <f>IF(OR(E38&lt;QUARTILE($E$5:$E$204,1)-1.5*(QUARTILE($E$5:$E$204,3)-QUARTILE($E$5:$E$204,1)),E38&gt;QUARTILE($E$5:$E$204,3)+1.5*(QUARTILE($E$5:$E$204,3)-QUARTILE($E$5:$E$204,1))),"Review","Within range")</f>
        <v/>
      </c>
      <c r="T38" s="6">
        <f>IF(COUNTBLANK(A38:E38)&gt;0,"Missing value",IF(COUNTIF(B38:E38,"&lt;0")&gt;0,"Negative value",IF(COUNTIF($A$5:$A$204,A38)&gt;1,"Duplicate market ID",IF(OR(P38="Review",Q38="Review",R38="Review",S38="Review"),"Review outlier","OK"))))</f>
        <v/>
      </c>
    </row>
    <row r="39">
      <c r="A39" s="6">
        <f>Raw_Data!A39</f>
        <v/>
      </c>
      <c r="B39" s="7">
        <f>Raw_Data!B39</f>
        <v/>
      </c>
      <c r="C39" s="7">
        <f>Raw_Data!C39</f>
        <v/>
      </c>
      <c r="D39" s="7">
        <f>Raw_Data!D39</f>
        <v/>
      </c>
      <c r="E39" s="7">
        <f>Raw_Data!E39</f>
        <v/>
      </c>
      <c r="F39" s="7">
        <f>SUM(B39:D39)</f>
        <v/>
      </c>
      <c r="G39" s="8">
        <f>IFERROR(B39/F39,0)</f>
        <v/>
      </c>
      <c r="H39" s="8">
        <f>IFERROR(C39/F39,0)</f>
        <v/>
      </c>
      <c r="I39" s="8">
        <f>IFERROR(D39/F39,0)</f>
        <v/>
      </c>
      <c r="J39" s="9">
        <f>IFERROR(E39/F39,0)</f>
        <v/>
      </c>
      <c r="K39" s="9">
        <f>IFERROR((B39-AVERAGE($B$5:$B$204))/STDEV($B$5:$B$204),0)</f>
        <v/>
      </c>
      <c r="L39" s="9">
        <f>IFERROR((C39-AVERAGE($C$5:$C$204))/STDEV($C$5:$C$204),0)</f>
        <v/>
      </c>
      <c r="M39" s="9">
        <f>IFERROR((D39-AVERAGE($D$5:$D$204))/STDEV($D$5:$D$204),0)</f>
        <v/>
      </c>
      <c r="N39" s="9">
        <f>IFERROR((E39-AVERAGE($E$5:$E$204))/STDEV($E$5:$E$204),0)</f>
        <v/>
      </c>
      <c r="O39" s="9">
        <f>IFERROR((F39-AVERAGE($F$5:$F$204))/STDEV($F$5:$F$204),0)</f>
        <v/>
      </c>
      <c r="P39" s="6">
        <f>IF(OR(B39&lt;QUARTILE($B$5:$B$204,1)-1.5*(QUARTILE($B$5:$B$204,3)-QUARTILE($B$5:$B$204,1)),B39&gt;QUARTILE($B$5:$B$204,3)+1.5*(QUARTILE($B$5:$B$204,3)-QUARTILE($B$5:$B$204,1))),"Review","Within range")</f>
        <v/>
      </c>
      <c r="Q39" s="6">
        <f>IF(OR(C39&lt;QUARTILE($C$5:$C$204,1)-1.5*(QUARTILE($C$5:$C$204,3)-QUARTILE($C$5:$C$204,1)),C39&gt;QUARTILE($C$5:$C$204,3)+1.5*(QUARTILE($C$5:$C$204,3)-QUARTILE($C$5:$C$204,1))),"Review","Within range")</f>
        <v/>
      </c>
      <c r="R39" s="6">
        <f>IF(OR(D39&lt;QUARTILE($D$5:$D$204,1)-1.5*(QUARTILE($D$5:$D$204,3)-QUARTILE($D$5:$D$204,1)),D39&gt;QUARTILE($D$5:$D$204,3)+1.5*(QUARTILE($D$5:$D$204,3)-QUARTILE($D$5:$D$204,1))),"Review","Within range")</f>
        <v/>
      </c>
      <c r="S39" s="6">
        <f>IF(OR(E39&lt;QUARTILE($E$5:$E$204,1)-1.5*(QUARTILE($E$5:$E$204,3)-QUARTILE($E$5:$E$204,1)),E39&gt;QUARTILE($E$5:$E$204,3)+1.5*(QUARTILE($E$5:$E$204,3)-QUARTILE($E$5:$E$204,1))),"Review","Within range")</f>
        <v/>
      </c>
      <c r="T39" s="6">
        <f>IF(COUNTBLANK(A39:E39)&gt;0,"Missing value",IF(COUNTIF(B39:E39,"&lt;0")&gt;0,"Negative value",IF(COUNTIF($A$5:$A$204,A39)&gt;1,"Duplicate market ID",IF(OR(P39="Review",Q39="Review",R39="Review",S39="Review"),"Review outlier","OK"))))</f>
        <v/>
      </c>
    </row>
    <row r="40">
      <c r="A40" s="6">
        <f>Raw_Data!A40</f>
        <v/>
      </c>
      <c r="B40" s="7">
        <f>Raw_Data!B40</f>
        <v/>
      </c>
      <c r="C40" s="7">
        <f>Raw_Data!C40</f>
        <v/>
      </c>
      <c r="D40" s="7">
        <f>Raw_Data!D40</f>
        <v/>
      </c>
      <c r="E40" s="7">
        <f>Raw_Data!E40</f>
        <v/>
      </c>
      <c r="F40" s="7">
        <f>SUM(B40:D40)</f>
        <v/>
      </c>
      <c r="G40" s="8">
        <f>IFERROR(B40/F40,0)</f>
        <v/>
      </c>
      <c r="H40" s="8">
        <f>IFERROR(C40/F40,0)</f>
        <v/>
      </c>
      <c r="I40" s="8">
        <f>IFERROR(D40/F40,0)</f>
        <v/>
      </c>
      <c r="J40" s="9">
        <f>IFERROR(E40/F40,0)</f>
        <v/>
      </c>
      <c r="K40" s="9">
        <f>IFERROR((B40-AVERAGE($B$5:$B$204))/STDEV($B$5:$B$204),0)</f>
        <v/>
      </c>
      <c r="L40" s="9">
        <f>IFERROR((C40-AVERAGE($C$5:$C$204))/STDEV($C$5:$C$204),0)</f>
        <v/>
      </c>
      <c r="M40" s="9">
        <f>IFERROR((D40-AVERAGE($D$5:$D$204))/STDEV($D$5:$D$204),0)</f>
        <v/>
      </c>
      <c r="N40" s="9">
        <f>IFERROR((E40-AVERAGE($E$5:$E$204))/STDEV($E$5:$E$204),0)</f>
        <v/>
      </c>
      <c r="O40" s="9">
        <f>IFERROR((F40-AVERAGE($F$5:$F$204))/STDEV($F$5:$F$204),0)</f>
        <v/>
      </c>
      <c r="P40" s="6">
        <f>IF(OR(B40&lt;QUARTILE($B$5:$B$204,1)-1.5*(QUARTILE($B$5:$B$204,3)-QUARTILE($B$5:$B$204,1)),B40&gt;QUARTILE($B$5:$B$204,3)+1.5*(QUARTILE($B$5:$B$204,3)-QUARTILE($B$5:$B$204,1))),"Review","Within range")</f>
        <v/>
      </c>
      <c r="Q40" s="6">
        <f>IF(OR(C40&lt;QUARTILE($C$5:$C$204,1)-1.5*(QUARTILE($C$5:$C$204,3)-QUARTILE($C$5:$C$204,1)),C40&gt;QUARTILE($C$5:$C$204,3)+1.5*(QUARTILE($C$5:$C$204,3)-QUARTILE($C$5:$C$204,1))),"Review","Within range")</f>
        <v/>
      </c>
      <c r="R40" s="6">
        <f>IF(OR(D40&lt;QUARTILE($D$5:$D$204,1)-1.5*(QUARTILE($D$5:$D$204,3)-QUARTILE($D$5:$D$204,1)),D40&gt;QUARTILE($D$5:$D$204,3)+1.5*(QUARTILE($D$5:$D$204,3)-QUARTILE($D$5:$D$204,1))),"Review","Within range")</f>
        <v/>
      </c>
      <c r="S40" s="6">
        <f>IF(OR(E40&lt;QUARTILE($E$5:$E$204,1)-1.5*(QUARTILE($E$5:$E$204,3)-QUARTILE($E$5:$E$204,1)),E40&gt;QUARTILE($E$5:$E$204,3)+1.5*(QUARTILE($E$5:$E$204,3)-QUARTILE($E$5:$E$204,1))),"Review","Within range")</f>
        <v/>
      </c>
      <c r="T40" s="6">
        <f>IF(COUNTBLANK(A40:E40)&gt;0,"Missing value",IF(COUNTIF(B40:E40,"&lt;0")&gt;0,"Negative value",IF(COUNTIF($A$5:$A$204,A40)&gt;1,"Duplicate market ID",IF(OR(P40="Review",Q40="Review",R40="Review",S40="Review"),"Review outlier","OK"))))</f>
        <v/>
      </c>
    </row>
    <row r="41">
      <c r="A41" s="6">
        <f>Raw_Data!A41</f>
        <v/>
      </c>
      <c r="B41" s="7">
        <f>Raw_Data!B41</f>
        <v/>
      </c>
      <c r="C41" s="7">
        <f>Raw_Data!C41</f>
        <v/>
      </c>
      <c r="D41" s="7">
        <f>Raw_Data!D41</f>
        <v/>
      </c>
      <c r="E41" s="7">
        <f>Raw_Data!E41</f>
        <v/>
      </c>
      <c r="F41" s="7">
        <f>SUM(B41:D41)</f>
        <v/>
      </c>
      <c r="G41" s="8">
        <f>IFERROR(B41/F41,0)</f>
        <v/>
      </c>
      <c r="H41" s="8">
        <f>IFERROR(C41/F41,0)</f>
        <v/>
      </c>
      <c r="I41" s="8">
        <f>IFERROR(D41/F41,0)</f>
        <v/>
      </c>
      <c r="J41" s="9">
        <f>IFERROR(E41/F41,0)</f>
        <v/>
      </c>
      <c r="K41" s="9">
        <f>IFERROR((B41-AVERAGE($B$5:$B$204))/STDEV($B$5:$B$204),0)</f>
        <v/>
      </c>
      <c r="L41" s="9">
        <f>IFERROR((C41-AVERAGE($C$5:$C$204))/STDEV($C$5:$C$204),0)</f>
        <v/>
      </c>
      <c r="M41" s="9">
        <f>IFERROR((D41-AVERAGE($D$5:$D$204))/STDEV($D$5:$D$204),0)</f>
        <v/>
      </c>
      <c r="N41" s="9">
        <f>IFERROR((E41-AVERAGE($E$5:$E$204))/STDEV($E$5:$E$204),0)</f>
        <v/>
      </c>
      <c r="O41" s="9">
        <f>IFERROR((F41-AVERAGE($F$5:$F$204))/STDEV($F$5:$F$204),0)</f>
        <v/>
      </c>
      <c r="P41" s="6">
        <f>IF(OR(B41&lt;QUARTILE($B$5:$B$204,1)-1.5*(QUARTILE($B$5:$B$204,3)-QUARTILE($B$5:$B$204,1)),B41&gt;QUARTILE($B$5:$B$204,3)+1.5*(QUARTILE($B$5:$B$204,3)-QUARTILE($B$5:$B$204,1))),"Review","Within range")</f>
        <v/>
      </c>
      <c r="Q41" s="6">
        <f>IF(OR(C41&lt;QUARTILE($C$5:$C$204,1)-1.5*(QUARTILE($C$5:$C$204,3)-QUARTILE($C$5:$C$204,1)),C41&gt;QUARTILE($C$5:$C$204,3)+1.5*(QUARTILE($C$5:$C$204,3)-QUARTILE($C$5:$C$204,1))),"Review","Within range")</f>
        <v/>
      </c>
      <c r="R41" s="6">
        <f>IF(OR(D41&lt;QUARTILE($D$5:$D$204,1)-1.5*(QUARTILE($D$5:$D$204,3)-QUARTILE($D$5:$D$204,1)),D41&gt;QUARTILE($D$5:$D$204,3)+1.5*(QUARTILE($D$5:$D$204,3)-QUARTILE($D$5:$D$204,1))),"Review","Within range")</f>
        <v/>
      </c>
      <c r="S41" s="6">
        <f>IF(OR(E41&lt;QUARTILE($E$5:$E$204,1)-1.5*(QUARTILE($E$5:$E$204,3)-QUARTILE($E$5:$E$204,1)),E41&gt;QUARTILE($E$5:$E$204,3)+1.5*(QUARTILE($E$5:$E$204,3)-QUARTILE($E$5:$E$204,1))),"Review","Within range")</f>
        <v/>
      </c>
      <c r="T41" s="6">
        <f>IF(COUNTBLANK(A41:E41)&gt;0,"Missing value",IF(COUNTIF(B41:E41,"&lt;0")&gt;0,"Negative value",IF(COUNTIF($A$5:$A$204,A41)&gt;1,"Duplicate market ID",IF(OR(P41="Review",Q41="Review",R41="Review",S41="Review"),"Review outlier","OK"))))</f>
        <v/>
      </c>
    </row>
    <row r="42">
      <c r="A42" s="6">
        <f>Raw_Data!A42</f>
        <v/>
      </c>
      <c r="B42" s="7">
        <f>Raw_Data!B42</f>
        <v/>
      </c>
      <c r="C42" s="7">
        <f>Raw_Data!C42</f>
        <v/>
      </c>
      <c r="D42" s="7">
        <f>Raw_Data!D42</f>
        <v/>
      </c>
      <c r="E42" s="7">
        <f>Raw_Data!E42</f>
        <v/>
      </c>
      <c r="F42" s="7">
        <f>SUM(B42:D42)</f>
        <v/>
      </c>
      <c r="G42" s="8">
        <f>IFERROR(B42/F42,0)</f>
        <v/>
      </c>
      <c r="H42" s="8">
        <f>IFERROR(C42/F42,0)</f>
        <v/>
      </c>
      <c r="I42" s="8">
        <f>IFERROR(D42/F42,0)</f>
        <v/>
      </c>
      <c r="J42" s="9">
        <f>IFERROR(E42/F42,0)</f>
        <v/>
      </c>
      <c r="K42" s="9">
        <f>IFERROR((B42-AVERAGE($B$5:$B$204))/STDEV($B$5:$B$204),0)</f>
        <v/>
      </c>
      <c r="L42" s="9">
        <f>IFERROR((C42-AVERAGE($C$5:$C$204))/STDEV($C$5:$C$204),0)</f>
        <v/>
      </c>
      <c r="M42" s="9">
        <f>IFERROR((D42-AVERAGE($D$5:$D$204))/STDEV($D$5:$D$204),0)</f>
        <v/>
      </c>
      <c r="N42" s="9">
        <f>IFERROR((E42-AVERAGE($E$5:$E$204))/STDEV($E$5:$E$204),0)</f>
        <v/>
      </c>
      <c r="O42" s="9">
        <f>IFERROR((F42-AVERAGE($F$5:$F$204))/STDEV($F$5:$F$204),0)</f>
        <v/>
      </c>
      <c r="P42" s="6">
        <f>IF(OR(B42&lt;QUARTILE($B$5:$B$204,1)-1.5*(QUARTILE($B$5:$B$204,3)-QUARTILE($B$5:$B$204,1)),B42&gt;QUARTILE($B$5:$B$204,3)+1.5*(QUARTILE($B$5:$B$204,3)-QUARTILE($B$5:$B$204,1))),"Review","Within range")</f>
        <v/>
      </c>
      <c r="Q42" s="6">
        <f>IF(OR(C42&lt;QUARTILE($C$5:$C$204,1)-1.5*(QUARTILE($C$5:$C$204,3)-QUARTILE($C$5:$C$204,1)),C42&gt;QUARTILE($C$5:$C$204,3)+1.5*(QUARTILE($C$5:$C$204,3)-QUARTILE($C$5:$C$204,1))),"Review","Within range")</f>
        <v/>
      </c>
      <c r="R42" s="6">
        <f>IF(OR(D42&lt;QUARTILE($D$5:$D$204,1)-1.5*(QUARTILE($D$5:$D$204,3)-QUARTILE($D$5:$D$204,1)),D42&gt;QUARTILE($D$5:$D$204,3)+1.5*(QUARTILE($D$5:$D$204,3)-QUARTILE($D$5:$D$204,1))),"Review","Within range")</f>
        <v/>
      </c>
      <c r="S42" s="6">
        <f>IF(OR(E42&lt;QUARTILE($E$5:$E$204,1)-1.5*(QUARTILE($E$5:$E$204,3)-QUARTILE($E$5:$E$204,1)),E42&gt;QUARTILE($E$5:$E$204,3)+1.5*(QUARTILE($E$5:$E$204,3)-QUARTILE($E$5:$E$204,1))),"Review","Within range")</f>
        <v/>
      </c>
      <c r="T42" s="6">
        <f>IF(COUNTBLANK(A42:E42)&gt;0,"Missing value",IF(COUNTIF(B42:E42,"&lt;0")&gt;0,"Negative value",IF(COUNTIF($A$5:$A$204,A42)&gt;1,"Duplicate market ID",IF(OR(P42="Review",Q42="Review",R42="Review",S42="Review"),"Review outlier","OK"))))</f>
        <v/>
      </c>
    </row>
    <row r="43">
      <c r="A43" s="6">
        <f>Raw_Data!A43</f>
        <v/>
      </c>
      <c r="B43" s="7">
        <f>Raw_Data!B43</f>
        <v/>
      </c>
      <c r="C43" s="7">
        <f>Raw_Data!C43</f>
        <v/>
      </c>
      <c r="D43" s="7">
        <f>Raw_Data!D43</f>
        <v/>
      </c>
      <c r="E43" s="7">
        <f>Raw_Data!E43</f>
        <v/>
      </c>
      <c r="F43" s="7">
        <f>SUM(B43:D43)</f>
        <v/>
      </c>
      <c r="G43" s="8">
        <f>IFERROR(B43/F43,0)</f>
        <v/>
      </c>
      <c r="H43" s="8">
        <f>IFERROR(C43/F43,0)</f>
        <v/>
      </c>
      <c r="I43" s="8">
        <f>IFERROR(D43/F43,0)</f>
        <v/>
      </c>
      <c r="J43" s="9">
        <f>IFERROR(E43/F43,0)</f>
        <v/>
      </c>
      <c r="K43" s="9">
        <f>IFERROR((B43-AVERAGE($B$5:$B$204))/STDEV($B$5:$B$204),0)</f>
        <v/>
      </c>
      <c r="L43" s="9">
        <f>IFERROR((C43-AVERAGE($C$5:$C$204))/STDEV($C$5:$C$204),0)</f>
        <v/>
      </c>
      <c r="M43" s="9">
        <f>IFERROR((D43-AVERAGE($D$5:$D$204))/STDEV($D$5:$D$204),0)</f>
        <v/>
      </c>
      <c r="N43" s="9">
        <f>IFERROR((E43-AVERAGE($E$5:$E$204))/STDEV($E$5:$E$204),0)</f>
        <v/>
      </c>
      <c r="O43" s="9">
        <f>IFERROR((F43-AVERAGE($F$5:$F$204))/STDEV($F$5:$F$204),0)</f>
        <v/>
      </c>
      <c r="P43" s="6">
        <f>IF(OR(B43&lt;QUARTILE($B$5:$B$204,1)-1.5*(QUARTILE($B$5:$B$204,3)-QUARTILE($B$5:$B$204,1)),B43&gt;QUARTILE($B$5:$B$204,3)+1.5*(QUARTILE($B$5:$B$204,3)-QUARTILE($B$5:$B$204,1))),"Review","Within range")</f>
        <v/>
      </c>
      <c r="Q43" s="6">
        <f>IF(OR(C43&lt;QUARTILE($C$5:$C$204,1)-1.5*(QUARTILE($C$5:$C$204,3)-QUARTILE($C$5:$C$204,1)),C43&gt;QUARTILE($C$5:$C$204,3)+1.5*(QUARTILE($C$5:$C$204,3)-QUARTILE($C$5:$C$204,1))),"Review","Within range")</f>
        <v/>
      </c>
      <c r="R43" s="6">
        <f>IF(OR(D43&lt;QUARTILE($D$5:$D$204,1)-1.5*(QUARTILE($D$5:$D$204,3)-QUARTILE($D$5:$D$204,1)),D43&gt;QUARTILE($D$5:$D$204,3)+1.5*(QUARTILE($D$5:$D$204,3)-QUARTILE($D$5:$D$204,1))),"Review","Within range")</f>
        <v/>
      </c>
      <c r="S43" s="6">
        <f>IF(OR(E43&lt;QUARTILE($E$5:$E$204,1)-1.5*(QUARTILE($E$5:$E$204,3)-QUARTILE($E$5:$E$204,1)),E43&gt;QUARTILE($E$5:$E$204,3)+1.5*(QUARTILE($E$5:$E$204,3)-QUARTILE($E$5:$E$204,1))),"Review","Within range")</f>
        <v/>
      </c>
      <c r="T43" s="6">
        <f>IF(COUNTBLANK(A43:E43)&gt;0,"Missing value",IF(COUNTIF(B43:E43,"&lt;0")&gt;0,"Negative value",IF(COUNTIF($A$5:$A$204,A43)&gt;1,"Duplicate market ID",IF(OR(P43="Review",Q43="Review",R43="Review",S43="Review"),"Review outlier","OK"))))</f>
        <v/>
      </c>
    </row>
    <row r="44">
      <c r="A44" s="6">
        <f>Raw_Data!A44</f>
        <v/>
      </c>
      <c r="B44" s="7">
        <f>Raw_Data!B44</f>
        <v/>
      </c>
      <c r="C44" s="7">
        <f>Raw_Data!C44</f>
        <v/>
      </c>
      <c r="D44" s="7">
        <f>Raw_Data!D44</f>
        <v/>
      </c>
      <c r="E44" s="7">
        <f>Raw_Data!E44</f>
        <v/>
      </c>
      <c r="F44" s="7">
        <f>SUM(B44:D44)</f>
        <v/>
      </c>
      <c r="G44" s="8">
        <f>IFERROR(B44/F44,0)</f>
        <v/>
      </c>
      <c r="H44" s="8">
        <f>IFERROR(C44/F44,0)</f>
        <v/>
      </c>
      <c r="I44" s="8">
        <f>IFERROR(D44/F44,0)</f>
        <v/>
      </c>
      <c r="J44" s="9">
        <f>IFERROR(E44/F44,0)</f>
        <v/>
      </c>
      <c r="K44" s="9">
        <f>IFERROR((B44-AVERAGE($B$5:$B$204))/STDEV($B$5:$B$204),0)</f>
        <v/>
      </c>
      <c r="L44" s="9">
        <f>IFERROR((C44-AVERAGE($C$5:$C$204))/STDEV($C$5:$C$204),0)</f>
        <v/>
      </c>
      <c r="M44" s="9">
        <f>IFERROR((D44-AVERAGE($D$5:$D$204))/STDEV($D$5:$D$204),0)</f>
        <v/>
      </c>
      <c r="N44" s="9">
        <f>IFERROR((E44-AVERAGE($E$5:$E$204))/STDEV($E$5:$E$204),0)</f>
        <v/>
      </c>
      <c r="O44" s="9">
        <f>IFERROR((F44-AVERAGE($F$5:$F$204))/STDEV($F$5:$F$204),0)</f>
        <v/>
      </c>
      <c r="P44" s="6">
        <f>IF(OR(B44&lt;QUARTILE($B$5:$B$204,1)-1.5*(QUARTILE($B$5:$B$204,3)-QUARTILE($B$5:$B$204,1)),B44&gt;QUARTILE($B$5:$B$204,3)+1.5*(QUARTILE($B$5:$B$204,3)-QUARTILE($B$5:$B$204,1))),"Review","Within range")</f>
        <v/>
      </c>
      <c r="Q44" s="6">
        <f>IF(OR(C44&lt;QUARTILE($C$5:$C$204,1)-1.5*(QUARTILE($C$5:$C$204,3)-QUARTILE($C$5:$C$204,1)),C44&gt;QUARTILE($C$5:$C$204,3)+1.5*(QUARTILE($C$5:$C$204,3)-QUARTILE($C$5:$C$204,1))),"Review","Within range")</f>
        <v/>
      </c>
      <c r="R44" s="6">
        <f>IF(OR(D44&lt;QUARTILE($D$5:$D$204,1)-1.5*(QUARTILE($D$5:$D$204,3)-QUARTILE($D$5:$D$204,1)),D44&gt;QUARTILE($D$5:$D$204,3)+1.5*(QUARTILE($D$5:$D$204,3)-QUARTILE($D$5:$D$204,1))),"Review","Within range")</f>
        <v/>
      </c>
      <c r="S44" s="6">
        <f>IF(OR(E44&lt;QUARTILE($E$5:$E$204,1)-1.5*(QUARTILE($E$5:$E$204,3)-QUARTILE($E$5:$E$204,1)),E44&gt;QUARTILE($E$5:$E$204,3)+1.5*(QUARTILE($E$5:$E$204,3)-QUARTILE($E$5:$E$204,1))),"Review","Within range")</f>
        <v/>
      </c>
      <c r="T44" s="6">
        <f>IF(COUNTBLANK(A44:E44)&gt;0,"Missing value",IF(COUNTIF(B44:E44,"&lt;0")&gt;0,"Negative value",IF(COUNTIF($A$5:$A$204,A44)&gt;1,"Duplicate market ID",IF(OR(P44="Review",Q44="Review",R44="Review",S44="Review"),"Review outlier","OK"))))</f>
        <v/>
      </c>
    </row>
    <row r="45">
      <c r="A45" s="6">
        <f>Raw_Data!A45</f>
        <v/>
      </c>
      <c r="B45" s="7">
        <f>Raw_Data!B45</f>
        <v/>
      </c>
      <c r="C45" s="7">
        <f>Raw_Data!C45</f>
        <v/>
      </c>
      <c r="D45" s="7">
        <f>Raw_Data!D45</f>
        <v/>
      </c>
      <c r="E45" s="7">
        <f>Raw_Data!E45</f>
        <v/>
      </c>
      <c r="F45" s="7">
        <f>SUM(B45:D45)</f>
        <v/>
      </c>
      <c r="G45" s="8">
        <f>IFERROR(B45/F45,0)</f>
        <v/>
      </c>
      <c r="H45" s="8">
        <f>IFERROR(C45/F45,0)</f>
        <v/>
      </c>
      <c r="I45" s="8">
        <f>IFERROR(D45/F45,0)</f>
        <v/>
      </c>
      <c r="J45" s="9">
        <f>IFERROR(E45/F45,0)</f>
        <v/>
      </c>
      <c r="K45" s="9">
        <f>IFERROR((B45-AVERAGE($B$5:$B$204))/STDEV($B$5:$B$204),0)</f>
        <v/>
      </c>
      <c r="L45" s="9">
        <f>IFERROR((C45-AVERAGE($C$5:$C$204))/STDEV($C$5:$C$204),0)</f>
        <v/>
      </c>
      <c r="M45" s="9">
        <f>IFERROR((D45-AVERAGE($D$5:$D$204))/STDEV($D$5:$D$204),0)</f>
        <v/>
      </c>
      <c r="N45" s="9">
        <f>IFERROR((E45-AVERAGE($E$5:$E$204))/STDEV($E$5:$E$204),0)</f>
        <v/>
      </c>
      <c r="O45" s="9">
        <f>IFERROR((F45-AVERAGE($F$5:$F$204))/STDEV($F$5:$F$204),0)</f>
        <v/>
      </c>
      <c r="P45" s="6">
        <f>IF(OR(B45&lt;QUARTILE($B$5:$B$204,1)-1.5*(QUARTILE($B$5:$B$204,3)-QUARTILE($B$5:$B$204,1)),B45&gt;QUARTILE($B$5:$B$204,3)+1.5*(QUARTILE($B$5:$B$204,3)-QUARTILE($B$5:$B$204,1))),"Review","Within range")</f>
        <v/>
      </c>
      <c r="Q45" s="6">
        <f>IF(OR(C45&lt;QUARTILE($C$5:$C$204,1)-1.5*(QUARTILE($C$5:$C$204,3)-QUARTILE($C$5:$C$204,1)),C45&gt;QUARTILE($C$5:$C$204,3)+1.5*(QUARTILE($C$5:$C$204,3)-QUARTILE($C$5:$C$204,1))),"Review","Within range")</f>
        <v/>
      </c>
      <c r="R45" s="6">
        <f>IF(OR(D45&lt;QUARTILE($D$5:$D$204,1)-1.5*(QUARTILE($D$5:$D$204,3)-QUARTILE($D$5:$D$204,1)),D45&gt;QUARTILE($D$5:$D$204,3)+1.5*(QUARTILE($D$5:$D$204,3)-QUARTILE($D$5:$D$204,1))),"Review","Within range")</f>
        <v/>
      </c>
      <c r="S45" s="6">
        <f>IF(OR(E45&lt;QUARTILE($E$5:$E$204,1)-1.5*(QUARTILE($E$5:$E$204,3)-QUARTILE($E$5:$E$204,1)),E45&gt;QUARTILE($E$5:$E$204,3)+1.5*(QUARTILE($E$5:$E$204,3)-QUARTILE($E$5:$E$204,1))),"Review","Within range")</f>
        <v/>
      </c>
      <c r="T45" s="6">
        <f>IF(COUNTBLANK(A45:E45)&gt;0,"Missing value",IF(COUNTIF(B45:E45,"&lt;0")&gt;0,"Negative value",IF(COUNTIF($A$5:$A$204,A45)&gt;1,"Duplicate market ID",IF(OR(P45="Review",Q45="Review",R45="Review",S45="Review"),"Review outlier","OK"))))</f>
        <v/>
      </c>
    </row>
    <row r="46">
      <c r="A46" s="6">
        <f>Raw_Data!A46</f>
        <v/>
      </c>
      <c r="B46" s="7">
        <f>Raw_Data!B46</f>
        <v/>
      </c>
      <c r="C46" s="7">
        <f>Raw_Data!C46</f>
        <v/>
      </c>
      <c r="D46" s="7">
        <f>Raw_Data!D46</f>
        <v/>
      </c>
      <c r="E46" s="7">
        <f>Raw_Data!E46</f>
        <v/>
      </c>
      <c r="F46" s="7">
        <f>SUM(B46:D46)</f>
        <v/>
      </c>
      <c r="G46" s="8">
        <f>IFERROR(B46/F46,0)</f>
        <v/>
      </c>
      <c r="H46" s="8">
        <f>IFERROR(C46/F46,0)</f>
        <v/>
      </c>
      <c r="I46" s="8">
        <f>IFERROR(D46/F46,0)</f>
        <v/>
      </c>
      <c r="J46" s="9">
        <f>IFERROR(E46/F46,0)</f>
        <v/>
      </c>
      <c r="K46" s="9">
        <f>IFERROR((B46-AVERAGE($B$5:$B$204))/STDEV($B$5:$B$204),0)</f>
        <v/>
      </c>
      <c r="L46" s="9">
        <f>IFERROR((C46-AVERAGE($C$5:$C$204))/STDEV($C$5:$C$204),0)</f>
        <v/>
      </c>
      <c r="M46" s="9">
        <f>IFERROR((D46-AVERAGE($D$5:$D$204))/STDEV($D$5:$D$204),0)</f>
        <v/>
      </c>
      <c r="N46" s="9">
        <f>IFERROR((E46-AVERAGE($E$5:$E$204))/STDEV($E$5:$E$204),0)</f>
        <v/>
      </c>
      <c r="O46" s="9">
        <f>IFERROR((F46-AVERAGE($F$5:$F$204))/STDEV($F$5:$F$204),0)</f>
        <v/>
      </c>
      <c r="P46" s="6">
        <f>IF(OR(B46&lt;QUARTILE($B$5:$B$204,1)-1.5*(QUARTILE($B$5:$B$204,3)-QUARTILE($B$5:$B$204,1)),B46&gt;QUARTILE($B$5:$B$204,3)+1.5*(QUARTILE($B$5:$B$204,3)-QUARTILE($B$5:$B$204,1))),"Review","Within range")</f>
        <v/>
      </c>
      <c r="Q46" s="6">
        <f>IF(OR(C46&lt;QUARTILE($C$5:$C$204,1)-1.5*(QUARTILE($C$5:$C$204,3)-QUARTILE($C$5:$C$204,1)),C46&gt;QUARTILE($C$5:$C$204,3)+1.5*(QUARTILE($C$5:$C$204,3)-QUARTILE($C$5:$C$204,1))),"Review","Within range")</f>
        <v/>
      </c>
      <c r="R46" s="6">
        <f>IF(OR(D46&lt;QUARTILE($D$5:$D$204,1)-1.5*(QUARTILE($D$5:$D$204,3)-QUARTILE($D$5:$D$204,1)),D46&gt;QUARTILE($D$5:$D$204,3)+1.5*(QUARTILE($D$5:$D$204,3)-QUARTILE($D$5:$D$204,1))),"Review","Within range")</f>
        <v/>
      </c>
      <c r="S46" s="6">
        <f>IF(OR(E46&lt;QUARTILE($E$5:$E$204,1)-1.5*(QUARTILE($E$5:$E$204,3)-QUARTILE($E$5:$E$204,1)),E46&gt;QUARTILE($E$5:$E$204,3)+1.5*(QUARTILE($E$5:$E$204,3)-QUARTILE($E$5:$E$204,1))),"Review","Within range")</f>
        <v/>
      </c>
      <c r="T46" s="6">
        <f>IF(COUNTBLANK(A46:E46)&gt;0,"Missing value",IF(COUNTIF(B46:E46,"&lt;0")&gt;0,"Negative value",IF(COUNTIF($A$5:$A$204,A46)&gt;1,"Duplicate market ID",IF(OR(P46="Review",Q46="Review",R46="Review",S46="Review"),"Review outlier","OK"))))</f>
        <v/>
      </c>
    </row>
    <row r="47">
      <c r="A47" s="6">
        <f>Raw_Data!A47</f>
        <v/>
      </c>
      <c r="B47" s="7">
        <f>Raw_Data!B47</f>
        <v/>
      </c>
      <c r="C47" s="7">
        <f>Raw_Data!C47</f>
        <v/>
      </c>
      <c r="D47" s="7">
        <f>Raw_Data!D47</f>
        <v/>
      </c>
      <c r="E47" s="7">
        <f>Raw_Data!E47</f>
        <v/>
      </c>
      <c r="F47" s="7">
        <f>SUM(B47:D47)</f>
        <v/>
      </c>
      <c r="G47" s="8">
        <f>IFERROR(B47/F47,0)</f>
        <v/>
      </c>
      <c r="H47" s="8">
        <f>IFERROR(C47/F47,0)</f>
        <v/>
      </c>
      <c r="I47" s="8">
        <f>IFERROR(D47/F47,0)</f>
        <v/>
      </c>
      <c r="J47" s="9">
        <f>IFERROR(E47/F47,0)</f>
        <v/>
      </c>
      <c r="K47" s="9">
        <f>IFERROR((B47-AVERAGE($B$5:$B$204))/STDEV($B$5:$B$204),0)</f>
        <v/>
      </c>
      <c r="L47" s="9">
        <f>IFERROR((C47-AVERAGE($C$5:$C$204))/STDEV($C$5:$C$204),0)</f>
        <v/>
      </c>
      <c r="M47" s="9">
        <f>IFERROR((D47-AVERAGE($D$5:$D$204))/STDEV($D$5:$D$204),0)</f>
        <v/>
      </c>
      <c r="N47" s="9">
        <f>IFERROR((E47-AVERAGE($E$5:$E$204))/STDEV($E$5:$E$204),0)</f>
        <v/>
      </c>
      <c r="O47" s="9">
        <f>IFERROR((F47-AVERAGE($F$5:$F$204))/STDEV($F$5:$F$204),0)</f>
        <v/>
      </c>
      <c r="P47" s="6">
        <f>IF(OR(B47&lt;QUARTILE($B$5:$B$204,1)-1.5*(QUARTILE($B$5:$B$204,3)-QUARTILE($B$5:$B$204,1)),B47&gt;QUARTILE($B$5:$B$204,3)+1.5*(QUARTILE($B$5:$B$204,3)-QUARTILE($B$5:$B$204,1))),"Review","Within range")</f>
        <v/>
      </c>
      <c r="Q47" s="6">
        <f>IF(OR(C47&lt;QUARTILE($C$5:$C$204,1)-1.5*(QUARTILE($C$5:$C$204,3)-QUARTILE($C$5:$C$204,1)),C47&gt;QUARTILE($C$5:$C$204,3)+1.5*(QUARTILE($C$5:$C$204,3)-QUARTILE($C$5:$C$204,1))),"Review","Within range")</f>
        <v/>
      </c>
      <c r="R47" s="6">
        <f>IF(OR(D47&lt;QUARTILE($D$5:$D$204,1)-1.5*(QUARTILE($D$5:$D$204,3)-QUARTILE($D$5:$D$204,1)),D47&gt;QUARTILE($D$5:$D$204,3)+1.5*(QUARTILE($D$5:$D$204,3)-QUARTILE($D$5:$D$204,1))),"Review","Within range")</f>
        <v/>
      </c>
      <c r="S47" s="6">
        <f>IF(OR(E47&lt;QUARTILE($E$5:$E$204,1)-1.5*(QUARTILE($E$5:$E$204,3)-QUARTILE($E$5:$E$204,1)),E47&gt;QUARTILE($E$5:$E$204,3)+1.5*(QUARTILE($E$5:$E$204,3)-QUARTILE($E$5:$E$204,1))),"Review","Within range")</f>
        <v/>
      </c>
      <c r="T47" s="6">
        <f>IF(COUNTBLANK(A47:E47)&gt;0,"Missing value",IF(COUNTIF(B47:E47,"&lt;0")&gt;0,"Negative value",IF(COUNTIF($A$5:$A$204,A47)&gt;1,"Duplicate market ID",IF(OR(P47="Review",Q47="Review",R47="Review",S47="Review"),"Review outlier","OK"))))</f>
        <v/>
      </c>
    </row>
    <row r="48">
      <c r="A48" s="6">
        <f>Raw_Data!A48</f>
        <v/>
      </c>
      <c r="B48" s="7">
        <f>Raw_Data!B48</f>
        <v/>
      </c>
      <c r="C48" s="7">
        <f>Raw_Data!C48</f>
        <v/>
      </c>
      <c r="D48" s="7">
        <f>Raw_Data!D48</f>
        <v/>
      </c>
      <c r="E48" s="7">
        <f>Raw_Data!E48</f>
        <v/>
      </c>
      <c r="F48" s="7">
        <f>SUM(B48:D48)</f>
        <v/>
      </c>
      <c r="G48" s="8">
        <f>IFERROR(B48/F48,0)</f>
        <v/>
      </c>
      <c r="H48" s="8">
        <f>IFERROR(C48/F48,0)</f>
        <v/>
      </c>
      <c r="I48" s="8">
        <f>IFERROR(D48/F48,0)</f>
        <v/>
      </c>
      <c r="J48" s="9">
        <f>IFERROR(E48/F48,0)</f>
        <v/>
      </c>
      <c r="K48" s="9">
        <f>IFERROR((B48-AVERAGE($B$5:$B$204))/STDEV($B$5:$B$204),0)</f>
        <v/>
      </c>
      <c r="L48" s="9">
        <f>IFERROR((C48-AVERAGE($C$5:$C$204))/STDEV($C$5:$C$204),0)</f>
        <v/>
      </c>
      <c r="M48" s="9">
        <f>IFERROR((D48-AVERAGE($D$5:$D$204))/STDEV($D$5:$D$204),0)</f>
        <v/>
      </c>
      <c r="N48" s="9">
        <f>IFERROR((E48-AVERAGE($E$5:$E$204))/STDEV($E$5:$E$204),0)</f>
        <v/>
      </c>
      <c r="O48" s="9">
        <f>IFERROR((F48-AVERAGE($F$5:$F$204))/STDEV($F$5:$F$204),0)</f>
        <v/>
      </c>
      <c r="P48" s="6">
        <f>IF(OR(B48&lt;QUARTILE($B$5:$B$204,1)-1.5*(QUARTILE($B$5:$B$204,3)-QUARTILE($B$5:$B$204,1)),B48&gt;QUARTILE($B$5:$B$204,3)+1.5*(QUARTILE($B$5:$B$204,3)-QUARTILE($B$5:$B$204,1))),"Review","Within range")</f>
        <v/>
      </c>
      <c r="Q48" s="6">
        <f>IF(OR(C48&lt;QUARTILE($C$5:$C$204,1)-1.5*(QUARTILE($C$5:$C$204,3)-QUARTILE($C$5:$C$204,1)),C48&gt;QUARTILE($C$5:$C$204,3)+1.5*(QUARTILE($C$5:$C$204,3)-QUARTILE($C$5:$C$204,1))),"Review","Within range")</f>
        <v/>
      </c>
      <c r="R48" s="6">
        <f>IF(OR(D48&lt;QUARTILE($D$5:$D$204,1)-1.5*(QUARTILE($D$5:$D$204,3)-QUARTILE($D$5:$D$204,1)),D48&gt;QUARTILE($D$5:$D$204,3)+1.5*(QUARTILE($D$5:$D$204,3)-QUARTILE($D$5:$D$204,1))),"Review","Within range")</f>
        <v/>
      </c>
      <c r="S48" s="6">
        <f>IF(OR(E48&lt;QUARTILE($E$5:$E$204,1)-1.5*(QUARTILE($E$5:$E$204,3)-QUARTILE($E$5:$E$204,1)),E48&gt;QUARTILE($E$5:$E$204,3)+1.5*(QUARTILE($E$5:$E$204,3)-QUARTILE($E$5:$E$204,1))),"Review","Within range")</f>
        <v/>
      </c>
      <c r="T48" s="6">
        <f>IF(COUNTBLANK(A48:E48)&gt;0,"Missing value",IF(COUNTIF(B48:E48,"&lt;0")&gt;0,"Negative value",IF(COUNTIF($A$5:$A$204,A48)&gt;1,"Duplicate market ID",IF(OR(P48="Review",Q48="Review",R48="Review",S48="Review"),"Review outlier","OK"))))</f>
        <v/>
      </c>
    </row>
    <row r="49">
      <c r="A49" s="6">
        <f>Raw_Data!A49</f>
        <v/>
      </c>
      <c r="B49" s="7">
        <f>Raw_Data!B49</f>
        <v/>
      </c>
      <c r="C49" s="7">
        <f>Raw_Data!C49</f>
        <v/>
      </c>
      <c r="D49" s="7">
        <f>Raw_Data!D49</f>
        <v/>
      </c>
      <c r="E49" s="7">
        <f>Raw_Data!E49</f>
        <v/>
      </c>
      <c r="F49" s="7">
        <f>SUM(B49:D49)</f>
        <v/>
      </c>
      <c r="G49" s="8">
        <f>IFERROR(B49/F49,0)</f>
        <v/>
      </c>
      <c r="H49" s="8">
        <f>IFERROR(C49/F49,0)</f>
        <v/>
      </c>
      <c r="I49" s="8">
        <f>IFERROR(D49/F49,0)</f>
        <v/>
      </c>
      <c r="J49" s="9">
        <f>IFERROR(E49/F49,0)</f>
        <v/>
      </c>
      <c r="K49" s="9">
        <f>IFERROR((B49-AVERAGE($B$5:$B$204))/STDEV($B$5:$B$204),0)</f>
        <v/>
      </c>
      <c r="L49" s="9">
        <f>IFERROR((C49-AVERAGE($C$5:$C$204))/STDEV($C$5:$C$204),0)</f>
        <v/>
      </c>
      <c r="M49" s="9">
        <f>IFERROR((D49-AVERAGE($D$5:$D$204))/STDEV($D$5:$D$204),0)</f>
        <v/>
      </c>
      <c r="N49" s="9">
        <f>IFERROR((E49-AVERAGE($E$5:$E$204))/STDEV($E$5:$E$204),0)</f>
        <v/>
      </c>
      <c r="O49" s="9">
        <f>IFERROR((F49-AVERAGE($F$5:$F$204))/STDEV($F$5:$F$204),0)</f>
        <v/>
      </c>
      <c r="P49" s="6">
        <f>IF(OR(B49&lt;QUARTILE($B$5:$B$204,1)-1.5*(QUARTILE($B$5:$B$204,3)-QUARTILE($B$5:$B$204,1)),B49&gt;QUARTILE($B$5:$B$204,3)+1.5*(QUARTILE($B$5:$B$204,3)-QUARTILE($B$5:$B$204,1))),"Review","Within range")</f>
        <v/>
      </c>
      <c r="Q49" s="6">
        <f>IF(OR(C49&lt;QUARTILE($C$5:$C$204,1)-1.5*(QUARTILE($C$5:$C$204,3)-QUARTILE($C$5:$C$204,1)),C49&gt;QUARTILE($C$5:$C$204,3)+1.5*(QUARTILE($C$5:$C$204,3)-QUARTILE($C$5:$C$204,1))),"Review","Within range")</f>
        <v/>
      </c>
      <c r="R49" s="6">
        <f>IF(OR(D49&lt;QUARTILE($D$5:$D$204,1)-1.5*(QUARTILE($D$5:$D$204,3)-QUARTILE($D$5:$D$204,1)),D49&gt;QUARTILE($D$5:$D$204,3)+1.5*(QUARTILE($D$5:$D$204,3)-QUARTILE($D$5:$D$204,1))),"Review","Within range")</f>
        <v/>
      </c>
      <c r="S49" s="6">
        <f>IF(OR(E49&lt;QUARTILE($E$5:$E$204,1)-1.5*(QUARTILE($E$5:$E$204,3)-QUARTILE($E$5:$E$204,1)),E49&gt;QUARTILE($E$5:$E$204,3)+1.5*(QUARTILE($E$5:$E$204,3)-QUARTILE($E$5:$E$204,1))),"Review","Within range")</f>
        <v/>
      </c>
      <c r="T49" s="6">
        <f>IF(COUNTBLANK(A49:E49)&gt;0,"Missing value",IF(COUNTIF(B49:E49,"&lt;0")&gt;0,"Negative value",IF(COUNTIF($A$5:$A$204,A49)&gt;1,"Duplicate market ID",IF(OR(P49="Review",Q49="Review",R49="Review",S49="Review"),"Review outlier","OK"))))</f>
        <v/>
      </c>
    </row>
    <row r="50">
      <c r="A50" s="6">
        <f>Raw_Data!A50</f>
        <v/>
      </c>
      <c r="B50" s="7">
        <f>Raw_Data!B50</f>
        <v/>
      </c>
      <c r="C50" s="7">
        <f>Raw_Data!C50</f>
        <v/>
      </c>
      <c r="D50" s="7">
        <f>Raw_Data!D50</f>
        <v/>
      </c>
      <c r="E50" s="7">
        <f>Raw_Data!E50</f>
        <v/>
      </c>
      <c r="F50" s="7">
        <f>SUM(B50:D50)</f>
        <v/>
      </c>
      <c r="G50" s="8">
        <f>IFERROR(B50/F50,0)</f>
        <v/>
      </c>
      <c r="H50" s="8">
        <f>IFERROR(C50/F50,0)</f>
        <v/>
      </c>
      <c r="I50" s="8">
        <f>IFERROR(D50/F50,0)</f>
        <v/>
      </c>
      <c r="J50" s="9">
        <f>IFERROR(E50/F50,0)</f>
        <v/>
      </c>
      <c r="K50" s="9">
        <f>IFERROR((B50-AVERAGE($B$5:$B$204))/STDEV($B$5:$B$204),0)</f>
        <v/>
      </c>
      <c r="L50" s="9">
        <f>IFERROR((C50-AVERAGE($C$5:$C$204))/STDEV($C$5:$C$204),0)</f>
        <v/>
      </c>
      <c r="M50" s="9">
        <f>IFERROR((D50-AVERAGE($D$5:$D$204))/STDEV($D$5:$D$204),0)</f>
        <v/>
      </c>
      <c r="N50" s="9">
        <f>IFERROR((E50-AVERAGE($E$5:$E$204))/STDEV($E$5:$E$204),0)</f>
        <v/>
      </c>
      <c r="O50" s="9">
        <f>IFERROR((F50-AVERAGE($F$5:$F$204))/STDEV($F$5:$F$204),0)</f>
        <v/>
      </c>
      <c r="P50" s="6">
        <f>IF(OR(B50&lt;QUARTILE($B$5:$B$204,1)-1.5*(QUARTILE($B$5:$B$204,3)-QUARTILE($B$5:$B$204,1)),B50&gt;QUARTILE($B$5:$B$204,3)+1.5*(QUARTILE($B$5:$B$204,3)-QUARTILE($B$5:$B$204,1))),"Review","Within range")</f>
        <v/>
      </c>
      <c r="Q50" s="6">
        <f>IF(OR(C50&lt;QUARTILE($C$5:$C$204,1)-1.5*(QUARTILE($C$5:$C$204,3)-QUARTILE($C$5:$C$204,1)),C50&gt;QUARTILE($C$5:$C$204,3)+1.5*(QUARTILE($C$5:$C$204,3)-QUARTILE($C$5:$C$204,1))),"Review","Within range")</f>
        <v/>
      </c>
      <c r="R50" s="6">
        <f>IF(OR(D50&lt;QUARTILE($D$5:$D$204,1)-1.5*(QUARTILE($D$5:$D$204,3)-QUARTILE($D$5:$D$204,1)),D50&gt;QUARTILE($D$5:$D$204,3)+1.5*(QUARTILE($D$5:$D$204,3)-QUARTILE($D$5:$D$204,1))),"Review","Within range")</f>
        <v/>
      </c>
      <c r="S50" s="6">
        <f>IF(OR(E50&lt;QUARTILE($E$5:$E$204,1)-1.5*(QUARTILE($E$5:$E$204,3)-QUARTILE($E$5:$E$204,1)),E50&gt;QUARTILE($E$5:$E$204,3)+1.5*(QUARTILE($E$5:$E$204,3)-QUARTILE($E$5:$E$204,1))),"Review","Within range")</f>
        <v/>
      </c>
      <c r="T50" s="6">
        <f>IF(COUNTBLANK(A50:E50)&gt;0,"Missing value",IF(COUNTIF(B50:E50,"&lt;0")&gt;0,"Negative value",IF(COUNTIF($A$5:$A$204,A50)&gt;1,"Duplicate market ID",IF(OR(P50="Review",Q50="Review",R50="Review",S50="Review"),"Review outlier","OK"))))</f>
        <v/>
      </c>
    </row>
    <row r="51">
      <c r="A51" s="6">
        <f>Raw_Data!A51</f>
        <v/>
      </c>
      <c r="B51" s="7">
        <f>Raw_Data!B51</f>
        <v/>
      </c>
      <c r="C51" s="7">
        <f>Raw_Data!C51</f>
        <v/>
      </c>
      <c r="D51" s="7">
        <f>Raw_Data!D51</f>
        <v/>
      </c>
      <c r="E51" s="7">
        <f>Raw_Data!E51</f>
        <v/>
      </c>
      <c r="F51" s="7">
        <f>SUM(B51:D51)</f>
        <v/>
      </c>
      <c r="G51" s="8">
        <f>IFERROR(B51/F51,0)</f>
        <v/>
      </c>
      <c r="H51" s="8">
        <f>IFERROR(C51/F51,0)</f>
        <v/>
      </c>
      <c r="I51" s="8">
        <f>IFERROR(D51/F51,0)</f>
        <v/>
      </c>
      <c r="J51" s="9">
        <f>IFERROR(E51/F51,0)</f>
        <v/>
      </c>
      <c r="K51" s="9">
        <f>IFERROR((B51-AVERAGE($B$5:$B$204))/STDEV($B$5:$B$204),0)</f>
        <v/>
      </c>
      <c r="L51" s="9">
        <f>IFERROR((C51-AVERAGE($C$5:$C$204))/STDEV($C$5:$C$204),0)</f>
        <v/>
      </c>
      <c r="M51" s="9">
        <f>IFERROR((D51-AVERAGE($D$5:$D$204))/STDEV($D$5:$D$204),0)</f>
        <v/>
      </c>
      <c r="N51" s="9">
        <f>IFERROR((E51-AVERAGE($E$5:$E$204))/STDEV($E$5:$E$204),0)</f>
        <v/>
      </c>
      <c r="O51" s="9">
        <f>IFERROR((F51-AVERAGE($F$5:$F$204))/STDEV($F$5:$F$204),0)</f>
        <v/>
      </c>
      <c r="P51" s="6">
        <f>IF(OR(B51&lt;QUARTILE($B$5:$B$204,1)-1.5*(QUARTILE($B$5:$B$204,3)-QUARTILE($B$5:$B$204,1)),B51&gt;QUARTILE($B$5:$B$204,3)+1.5*(QUARTILE($B$5:$B$204,3)-QUARTILE($B$5:$B$204,1))),"Review","Within range")</f>
        <v/>
      </c>
      <c r="Q51" s="6">
        <f>IF(OR(C51&lt;QUARTILE($C$5:$C$204,1)-1.5*(QUARTILE($C$5:$C$204,3)-QUARTILE($C$5:$C$204,1)),C51&gt;QUARTILE($C$5:$C$204,3)+1.5*(QUARTILE($C$5:$C$204,3)-QUARTILE($C$5:$C$204,1))),"Review","Within range")</f>
        <v/>
      </c>
      <c r="R51" s="6">
        <f>IF(OR(D51&lt;QUARTILE($D$5:$D$204,1)-1.5*(QUARTILE($D$5:$D$204,3)-QUARTILE($D$5:$D$204,1)),D51&gt;QUARTILE($D$5:$D$204,3)+1.5*(QUARTILE($D$5:$D$204,3)-QUARTILE($D$5:$D$204,1))),"Review","Within range")</f>
        <v/>
      </c>
      <c r="S51" s="6">
        <f>IF(OR(E51&lt;QUARTILE($E$5:$E$204,1)-1.5*(QUARTILE($E$5:$E$204,3)-QUARTILE($E$5:$E$204,1)),E51&gt;QUARTILE($E$5:$E$204,3)+1.5*(QUARTILE($E$5:$E$204,3)-QUARTILE($E$5:$E$204,1))),"Review","Within range")</f>
        <v/>
      </c>
      <c r="T51" s="6">
        <f>IF(COUNTBLANK(A51:E51)&gt;0,"Missing value",IF(COUNTIF(B51:E51,"&lt;0")&gt;0,"Negative value",IF(COUNTIF($A$5:$A$204,A51)&gt;1,"Duplicate market ID",IF(OR(P51="Review",Q51="Review",R51="Review",S51="Review"),"Review outlier","OK"))))</f>
        <v/>
      </c>
    </row>
    <row r="52">
      <c r="A52" s="6">
        <f>Raw_Data!A52</f>
        <v/>
      </c>
      <c r="B52" s="7">
        <f>Raw_Data!B52</f>
        <v/>
      </c>
      <c r="C52" s="7">
        <f>Raw_Data!C52</f>
        <v/>
      </c>
      <c r="D52" s="7">
        <f>Raw_Data!D52</f>
        <v/>
      </c>
      <c r="E52" s="7">
        <f>Raw_Data!E52</f>
        <v/>
      </c>
      <c r="F52" s="7">
        <f>SUM(B52:D52)</f>
        <v/>
      </c>
      <c r="G52" s="8">
        <f>IFERROR(B52/F52,0)</f>
        <v/>
      </c>
      <c r="H52" s="8">
        <f>IFERROR(C52/F52,0)</f>
        <v/>
      </c>
      <c r="I52" s="8">
        <f>IFERROR(D52/F52,0)</f>
        <v/>
      </c>
      <c r="J52" s="9">
        <f>IFERROR(E52/F52,0)</f>
        <v/>
      </c>
      <c r="K52" s="9">
        <f>IFERROR((B52-AVERAGE($B$5:$B$204))/STDEV($B$5:$B$204),0)</f>
        <v/>
      </c>
      <c r="L52" s="9">
        <f>IFERROR((C52-AVERAGE($C$5:$C$204))/STDEV($C$5:$C$204),0)</f>
        <v/>
      </c>
      <c r="M52" s="9">
        <f>IFERROR((D52-AVERAGE($D$5:$D$204))/STDEV($D$5:$D$204),0)</f>
        <v/>
      </c>
      <c r="N52" s="9">
        <f>IFERROR((E52-AVERAGE($E$5:$E$204))/STDEV($E$5:$E$204),0)</f>
        <v/>
      </c>
      <c r="O52" s="9">
        <f>IFERROR((F52-AVERAGE($F$5:$F$204))/STDEV($F$5:$F$204),0)</f>
        <v/>
      </c>
      <c r="P52" s="6">
        <f>IF(OR(B52&lt;QUARTILE($B$5:$B$204,1)-1.5*(QUARTILE($B$5:$B$204,3)-QUARTILE($B$5:$B$204,1)),B52&gt;QUARTILE($B$5:$B$204,3)+1.5*(QUARTILE($B$5:$B$204,3)-QUARTILE($B$5:$B$204,1))),"Review","Within range")</f>
        <v/>
      </c>
      <c r="Q52" s="6">
        <f>IF(OR(C52&lt;QUARTILE($C$5:$C$204,1)-1.5*(QUARTILE($C$5:$C$204,3)-QUARTILE($C$5:$C$204,1)),C52&gt;QUARTILE($C$5:$C$204,3)+1.5*(QUARTILE($C$5:$C$204,3)-QUARTILE($C$5:$C$204,1))),"Review","Within range")</f>
        <v/>
      </c>
      <c r="R52" s="6">
        <f>IF(OR(D52&lt;QUARTILE($D$5:$D$204,1)-1.5*(QUARTILE($D$5:$D$204,3)-QUARTILE($D$5:$D$204,1)),D52&gt;QUARTILE($D$5:$D$204,3)+1.5*(QUARTILE($D$5:$D$204,3)-QUARTILE($D$5:$D$204,1))),"Review","Within range")</f>
        <v/>
      </c>
      <c r="S52" s="6">
        <f>IF(OR(E52&lt;QUARTILE($E$5:$E$204,1)-1.5*(QUARTILE($E$5:$E$204,3)-QUARTILE($E$5:$E$204,1)),E52&gt;QUARTILE($E$5:$E$204,3)+1.5*(QUARTILE($E$5:$E$204,3)-QUARTILE($E$5:$E$204,1))),"Review","Within range")</f>
        <v/>
      </c>
      <c r="T52" s="6">
        <f>IF(COUNTBLANK(A52:E52)&gt;0,"Missing value",IF(COUNTIF(B52:E52,"&lt;0")&gt;0,"Negative value",IF(COUNTIF($A$5:$A$204,A52)&gt;1,"Duplicate market ID",IF(OR(P52="Review",Q52="Review",R52="Review",S52="Review"),"Review outlier","OK"))))</f>
        <v/>
      </c>
    </row>
    <row r="53">
      <c r="A53" s="6">
        <f>Raw_Data!A53</f>
        <v/>
      </c>
      <c r="B53" s="7">
        <f>Raw_Data!B53</f>
        <v/>
      </c>
      <c r="C53" s="7">
        <f>Raw_Data!C53</f>
        <v/>
      </c>
      <c r="D53" s="7">
        <f>Raw_Data!D53</f>
        <v/>
      </c>
      <c r="E53" s="7">
        <f>Raw_Data!E53</f>
        <v/>
      </c>
      <c r="F53" s="7">
        <f>SUM(B53:D53)</f>
        <v/>
      </c>
      <c r="G53" s="8">
        <f>IFERROR(B53/F53,0)</f>
        <v/>
      </c>
      <c r="H53" s="8">
        <f>IFERROR(C53/F53,0)</f>
        <v/>
      </c>
      <c r="I53" s="8">
        <f>IFERROR(D53/F53,0)</f>
        <v/>
      </c>
      <c r="J53" s="9">
        <f>IFERROR(E53/F53,0)</f>
        <v/>
      </c>
      <c r="K53" s="9">
        <f>IFERROR((B53-AVERAGE($B$5:$B$204))/STDEV($B$5:$B$204),0)</f>
        <v/>
      </c>
      <c r="L53" s="9">
        <f>IFERROR((C53-AVERAGE($C$5:$C$204))/STDEV($C$5:$C$204),0)</f>
        <v/>
      </c>
      <c r="M53" s="9">
        <f>IFERROR((D53-AVERAGE($D$5:$D$204))/STDEV($D$5:$D$204),0)</f>
        <v/>
      </c>
      <c r="N53" s="9">
        <f>IFERROR((E53-AVERAGE($E$5:$E$204))/STDEV($E$5:$E$204),0)</f>
        <v/>
      </c>
      <c r="O53" s="9">
        <f>IFERROR((F53-AVERAGE($F$5:$F$204))/STDEV($F$5:$F$204),0)</f>
        <v/>
      </c>
      <c r="P53" s="6">
        <f>IF(OR(B53&lt;QUARTILE($B$5:$B$204,1)-1.5*(QUARTILE($B$5:$B$204,3)-QUARTILE($B$5:$B$204,1)),B53&gt;QUARTILE($B$5:$B$204,3)+1.5*(QUARTILE($B$5:$B$204,3)-QUARTILE($B$5:$B$204,1))),"Review","Within range")</f>
        <v/>
      </c>
      <c r="Q53" s="6">
        <f>IF(OR(C53&lt;QUARTILE($C$5:$C$204,1)-1.5*(QUARTILE($C$5:$C$204,3)-QUARTILE($C$5:$C$204,1)),C53&gt;QUARTILE($C$5:$C$204,3)+1.5*(QUARTILE($C$5:$C$204,3)-QUARTILE($C$5:$C$204,1))),"Review","Within range")</f>
        <v/>
      </c>
      <c r="R53" s="6">
        <f>IF(OR(D53&lt;QUARTILE($D$5:$D$204,1)-1.5*(QUARTILE($D$5:$D$204,3)-QUARTILE($D$5:$D$204,1)),D53&gt;QUARTILE($D$5:$D$204,3)+1.5*(QUARTILE($D$5:$D$204,3)-QUARTILE($D$5:$D$204,1))),"Review","Within range")</f>
        <v/>
      </c>
      <c r="S53" s="6">
        <f>IF(OR(E53&lt;QUARTILE($E$5:$E$204,1)-1.5*(QUARTILE($E$5:$E$204,3)-QUARTILE($E$5:$E$204,1)),E53&gt;QUARTILE($E$5:$E$204,3)+1.5*(QUARTILE($E$5:$E$204,3)-QUARTILE($E$5:$E$204,1))),"Review","Within range")</f>
        <v/>
      </c>
      <c r="T53" s="6">
        <f>IF(COUNTBLANK(A53:E53)&gt;0,"Missing value",IF(COUNTIF(B53:E53,"&lt;0")&gt;0,"Negative value",IF(COUNTIF($A$5:$A$204,A53)&gt;1,"Duplicate market ID",IF(OR(P53="Review",Q53="Review",R53="Review",S53="Review"),"Review outlier","OK"))))</f>
        <v/>
      </c>
    </row>
    <row r="54">
      <c r="A54" s="6">
        <f>Raw_Data!A54</f>
        <v/>
      </c>
      <c r="B54" s="7">
        <f>Raw_Data!B54</f>
        <v/>
      </c>
      <c r="C54" s="7">
        <f>Raw_Data!C54</f>
        <v/>
      </c>
      <c r="D54" s="7">
        <f>Raw_Data!D54</f>
        <v/>
      </c>
      <c r="E54" s="7">
        <f>Raw_Data!E54</f>
        <v/>
      </c>
      <c r="F54" s="7">
        <f>SUM(B54:D54)</f>
        <v/>
      </c>
      <c r="G54" s="8">
        <f>IFERROR(B54/F54,0)</f>
        <v/>
      </c>
      <c r="H54" s="8">
        <f>IFERROR(C54/F54,0)</f>
        <v/>
      </c>
      <c r="I54" s="8">
        <f>IFERROR(D54/F54,0)</f>
        <v/>
      </c>
      <c r="J54" s="9">
        <f>IFERROR(E54/F54,0)</f>
        <v/>
      </c>
      <c r="K54" s="9">
        <f>IFERROR((B54-AVERAGE($B$5:$B$204))/STDEV($B$5:$B$204),0)</f>
        <v/>
      </c>
      <c r="L54" s="9">
        <f>IFERROR((C54-AVERAGE($C$5:$C$204))/STDEV($C$5:$C$204),0)</f>
        <v/>
      </c>
      <c r="M54" s="9">
        <f>IFERROR((D54-AVERAGE($D$5:$D$204))/STDEV($D$5:$D$204),0)</f>
        <v/>
      </c>
      <c r="N54" s="9">
        <f>IFERROR((E54-AVERAGE($E$5:$E$204))/STDEV($E$5:$E$204),0)</f>
        <v/>
      </c>
      <c r="O54" s="9">
        <f>IFERROR((F54-AVERAGE($F$5:$F$204))/STDEV($F$5:$F$204),0)</f>
        <v/>
      </c>
      <c r="P54" s="6">
        <f>IF(OR(B54&lt;QUARTILE($B$5:$B$204,1)-1.5*(QUARTILE($B$5:$B$204,3)-QUARTILE($B$5:$B$204,1)),B54&gt;QUARTILE($B$5:$B$204,3)+1.5*(QUARTILE($B$5:$B$204,3)-QUARTILE($B$5:$B$204,1))),"Review","Within range")</f>
        <v/>
      </c>
      <c r="Q54" s="6">
        <f>IF(OR(C54&lt;QUARTILE($C$5:$C$204,1)-1.5*(QUARTILE($C$5:$C$204,3)-QUARTILE($C$5:$C$204,1)),C54&gt;QUARTILE($C$5:$C$204,3)+1.5*(QUARTILE($C$5:$C$204,3)-QUARTILE($C$5:$C$204,1))),"Review","Within range")</f>
        <v/>
      </c>
      <c r="R54" s="6">
        <f>IF(OR(D54&lt;QUARTILE($D$5:$D$204,1)-1.5*(QUARTILE($D$5:$D$204,3)-QUARTILE($D$5:$D$204,1)),D54&gt;QUARTILE($D$5:$D$204,3)+1.5*(QUARTILE($D$5:$D$204,3)-QUARTILE($D$5:$D$204,1))),"Review","Within range")</f>
        <v/>
      </c>
      <c r="S54" s="6">
        <f>IF(OR(E54&lt;QUARTILE($E$5:$E$204,1)-1.5*(QUARTILE($E$5:$E$204,3)-QUARTILE($E$5:$E$204,1)),E54&gt;QUARTILE($E$5:$E$204,3)+1.5*(QUARTILE($E$5:$E$204,3)-QUARTILE($E$5:$E$204,1))),"Review","Within range")</f>
        <v/>
      </c>
      <c r="T54" s="6">
        <f>IF(COUNTBLANK(A54:E54)&gt;0,"Missing value",IF(COUNTIF(B54:E54,"&lt;0")&gt;0,"Negative value",IF(COUNTIF($A$5:$A$204,A54)&gt;1,"Duplicate market ID",IF(OR(P54="Review",Q54="Review",R54="Review",S54="Review"),"Review outlier","OK"))))</f>
        <v/>
      </c>
    </row>
    <row r="55">
      <c r="A55" s="6">
        <f>Raw_Data!A55</f>
        <v/>
      </c>
      <c r="B55" s="7">
        <f>Raw_Data!B55</f>
        <v/>
      </c>
      <c r="C55" s="7">
        <f>Raw_Data!C55</f>
        <v/>
      </c>
      <c r="D55" s="7">
        <f>Raw_Data!D55</f>
        <v/>
      </c>
      <c r="E55" s="7">
        <f>Raw_Data!E55</f>
        <v/>
      </c>
      <c r="F55" s="7">
        <f>SUM(B55:D55)</f>
        <v/>
      </c>
      <c r="G55" s="8">
        <f>IFERROR(B55/F55,0)</f>
        <v/>
      </c>
      <c r="H55" s="8">
        <f>IFERROR(C55/F55,0)</f>
        <v/>
      </c>
      <c r="I55" s="8">
        <f>IFERROR(D55/F55,0)</f>
        <v/>
      </c>
      <c r="J55" s="9">
        <f>IFERROR(E55/F55,0)</f>
        <v/>
      </c>
      <c r="K55" s="9">
        <f>IFERROR((B55-AVERAGE($B$5:$B$204))/STDEV($B$5:$B$204),0)</f>
        <v/>
      </c>
      <c r="L55" s="9">
        <f>IFERROR((C55-AVERAGE($C$5:$C$204))/STDEV($C$5:$C$204),0)</f>
        <v/>
      </c>
      <c r="M55" s="9">
        <f>IFERROR((D55-AVERAGE($D$5:$D$204))/STDEV($D$5:$D$204),0)</f>
        <v/>
      </c>
      <c r="N55" s="9">
        <f>IFERROR((E55-AVERAGE($E$5:$E$204))/STDEV($E$5:$E$204),0)</f>
        <v/>
      </c>
      <c r="O55" s="9">
        <f>IFERROR((F55-AVERAGE($F$5:$F$204))/STDEV($F$5:$F$204),0)</f>
        <v/>
      </c>
      <c r="P55" s="6">
        <f>IF(OR(B55&lt;QUARTILE($B$5:$B$204,1)-1.5*(QUARTILE($B$5:$B$204,3)-QUARTILE($B$5:$B$204,1)),B55&gt;QUARTILE($B$5:$B$204,3)+1.5*(QUARTILE($B$5:$B$204,3)-QUARTILE($B$5:$B$204,1))),"Review","Within range")</f>
        <v/>
      </c>
      <c r="Q55" s="6">
        <f>IF(OR(C55&lt;QUARTILE($C$5:$C$204,1)-1.5*(QUARTILE($C$5:$C$204,3)-QUARTILE($C$5:$C$204,1)),C55&gt;QUARTILE($C$5:$C$204,3)+1.5*(QUARTILE($C$5:$C$204,3)-QUARTILE($C$5:$C$204,1))),"Review","Within range")</f>
        <v/>
      </c>
      <c r="R55" s="6">
        <f>IF(OR(D55&lt;QUARTILE($D$5:$D$204,1)-1.5*(QUARTILE($D$5:$D$204,3)-QUARTILE($D$5:$D$204,1)),D55&gt;QUARTILE($D$5:$D$204,3)+1.5*(QUARTILE($D$5:$D$204,3)-QUARTILE($D$5:$D$204,1))),"Review","Within range")</f>
        <v/>
      </c>
      <c r="S55" s="6">
        <f>IF(OR(E55&lt;QUARTILE($E$5:$E$204,1)-1.5*(QUARTILE($E$5:$E$204,3)-QUARTILE($E$5:$E$204,1)),E55&gt;QUARTILE($E$5:$E$204,3)+1.5*(QUARTILE($E$5:$E$204,3)-QUARTILE($E$5:$E$204,1))),"Review","Within range")</f>
        <v/>
      </c>
      <c r="T55" s="6">
        <f>IF(COUNTBLANK(A55:E55)&gt;0,"Missing value",IF(COUNTIF(B55:E55,"&lt;0")&gt;0,"Negative value",IF(COUNTIF($A$5:$A$204,A55)&gt;1,"Duplicate market ID",IF(OR(P55="Review",Q55="Review",R55="Review",S55="Review"),"Review outlier","OK"))))</f>
        <v/>
      </c>
    </row>
    <row r="56">
      <c r="A56" s="6">
        <f>Raw_Data!A56</f>
        <v/>
      </c>
      <c r="B56" s="7">
        <f>Raw_Data!B56</f>
        <v/>
      </c>
      <c r="C56" s="7">
        <f>Raw_Data!C56</f>
        <v/>
      </c>
      <c r="D56" s="7">
        <f>Raw_Data!D56</f>
        <v/>
      </c>
      <c r="E56" s="7">
        <f>Raw_Data!E56</f>
        <v/>
      </c>
      <c r="F56" s="7">
        <f>SUM(B56:D56)</f>
        <v/>
      </c>
      <c r="G56" s="8">
        <f>IFERROR(B56/F56,0)</f>
        <v/>
      </c>
      <c r="H56" s="8">
        <f>IFERROR(C56/F56,0)</f>
        <v/>
      </c>
      <c r="I56" s="8">
        <f>IFERROR(D56/F56,0)</f>
        <v/>
      </c>
      <c r="J56" s="9">
        <f>IFERROR(E56/F56,0)</f>
        <v/>
      </c>
      <c r="K56" s="9">
        <f>IFERROR((B56-AVERAGE($B$5:$B$204))/STDEV($B$5:$B$204),0)</f>
        <v/>
      </c>
      <c r="L56" s="9">
        <f>IFERROR((C56-AVERAGE($C$5:$C$204))/STDEV($C$5:$C$204),0)</f>
        <v/>
      </c>
      <c r="M56" s="9">
        <f>IFERROR((D56-AVERAGE($D$5:$D$204))/STDEV($D$5:$D$204),0)</f>
        <v/>
      </c>
      <c r="N56" s="9">
        <f>IFERROR((E56-AVERAGE($E$5:$E$204))/STDEV($E$5:$E$204),0)</f>
        <v/>
      </c>
      <c r="O56" s="9">
        <f>IFERROR((F56-AVERAGE($F$5:$F$204))/STDEV($F$5:$F$204),0)</f>
        <v/>
      </c>
      <c r="P56" s="6">
        <f>IF(OR(B56&lt;QUARTILE($B$5:$B$204,1)-1.5*(QUARTILE($B$5:$B$204,3)-QUARTILE($B$5:$B$204,1)),B56&gt;QUARTILE($B$5:$B$204,3)+1.5*(QUARTILE($B$5:$B$204,3)-QUARTILE($B$5:$B$204,1))),"Review","Within range")</f>
        <v/>
      </c>
      <c r="Q56" s="6">
        <f>IF(OR(C56&lt;QUARTILE($C$5:$C$204,1)-1.5*(QUARTILE($C$5:$C$204,3)-QUARTILE($C$5:$C$204,1)),C56&gt;QUARTILE($C$5:$C$204,3)+1.5*(QUARTILE($C$5:$C$204,3)-QUARTILE($C$5:$C$204,1))),"Review","Within range")</f>
        <v/>
      </c>
      <c r="R56" s="6">
        <f>IF(OR(D56&lt;QUARTILE($D$5:$D$204,1)-1.5*(QUARTILE($D$5:$D$204,3)-QUARTILE($D$5:$D$204,1)),D56&gt;QUARTILE($D$5:$D$204,3)+1.5*(QUARTILE($D$5:$D$204,3)-QUARTILE($D$5:$D$204,1))),"Review","Within range")</f>
        <v/>
      </c>
      <c r="S56" s="6">
        <f>IF(OR(E56&lt;QUARTILE($E$5:$E$204,1)-1.5*(QUARTILE($E$5:$E$204,3)-QUARTILE($E$5:$E$204,1)),E56&gt;QUARTILE($E$5:$E$204,3)+1.5*(QUARTILE($E$5:$E$204,3)-QUARTILE($E$5:$E$204,1))),"Review","Within range")</f>
        <v/>
      </c>
      <c r="T56" s="6">
        <f>IF(COUNTBLANK(A56:E56)&gt;0,"Missing value",IF(COUNTIF(B56:E56,"&lt;0")&gt;0,"Negative value",IF(COUNTIF($A$5:$A$204,A56)&gt;1,"Duplicate market ID",IF(OR(P56="Review",Q56="Review",R56="Review",S56="Review"),"Review outlier","OK"))))</f>
        <v/>
      </c>
    </row>
    <row r="57">
      <c r="A57" s="6">
        <f>Raw_Data!A57</f>
        <v/>
      </c>
      <c r="B57" s="7">
        <f>Raw_Data!B57</f>
        <v/>
      </c>
      <c r="C57" s="7">
        <f>Raw_Data!C57</f>
        <v/>
      </c>
      <c r="D57" s="7">
        <f>Raw_Data!D57</f>
        <v/>
      </c>
      <c r="E57" s="7">
        <f>Raw_Data!E57</f>
        <v/>
      </c>
      <c r="F57" s="7">
        <f>SUM(B57:D57)</f>
        <v/>
      </c>
      <c r="G57" s="8">
        <f>IFERROR(B57/F57,0)</f>
        <v/>
      </c>
      <c r="H57" s="8">
        <f>IFERROR(C57/F57,0)</f>
        <v/>
      </c>
      <c r="I57" s="8">
        <f>IFERROR(D57/F57,0)</f>
        <v/>
      </c>
      <c r="J57" s="9">
        <f>IFERROR(E57/F57,0)</f>
        <v/>
      </c>
      <c r="K57" s="9">
        <f>IFERROR((B57-AVERAGE($B$5:$B$204))/STDEV($B$5:$B$204),0)</f>
        <v/>
      </c>
      <c r="L57" s="9">
        <f>IFERROR((C57-AVERAGE($C$5:$C$204))/STDEV($C$5:$C$204),0)</f>
        <v/>
      </c>
      <c r="M57" s="9">
        <f>IFERROR((D57-AVERAGE($D$5:$D$204))/STDEV($D$5:$D$204),0)</f>
        <v/>
      </c>
      <c r="N57" s="9">
        <f>IFERROR((E57-AVERAGE($E$5:$E$204))/STDEV($E$5:$E$204),0)</f>
        <v/>
      </c>
      <c r="O57" s="9">
        <f>IFERROR((F57-AVERAGE($F$5:$F$204))/STDEV($F$5:$F$204),0)</f>
        <v/>
      </c>
      <c r="P57" s="6">
        <f>IF(OR(B57&lt;QUARTILE($B$5:$B$204,1)-1.5*(QUARTILE($B$5:$B$204,3)-QUARTILE($B$5:$B$204,1)),B57&gt;QUARTILE($B$5:$B$204,3)+1.5*(QUARTILE($B$5:$B$204,3)-QUARTILE($B$5:$B$204,1))),"Review","Within range")</f>
        <v/>
      </c>
      <c r="Q57" s="6">
        <f>IF(OR(C57&lt;QUARTILE($C$5:$C$204,1)-1.5*(QUARTILE($C$5:$C$204,3)-QUARTILE($C$5:$C$204,1)),C57&gt;QUARTILE($C$5:$C$204,3)+1.5*(QUARTILE($C$5:$C$204,3)-QUARTILE($C$5:$C$204,1))),"Review","Within range")</f>
        <v/>
      </c>
      <c r="R57" s="6">
        <f>IF(OR(D57&lt;QUARTILE($D$5:$D$204,1)-1.5*(QUARTILE($D$5:$D$204,3)-QUARTILE($D$5:$D$204,1)),D57&gt;QUARTILE($D$5:$D$204,3)+1.5*(QUARTILE($D$5:$D$204,3)-QUARTILE($D$5:$D$204,1))),"Review","Within range")</f>
        <v/>
      </c>
      <c r="S57" s="6">
        <f>IF(OR(E57&lt;QUARTILE($E$5:$E$204,1)-1.5*(QUARTILE($E$5:$E$204,3)-QUARTILE($E$5:$E$204,1)),E57&gt;QUARTILE($E$5:$E$204,3)+1.5*(QUARTILE($E$5:$E$204,3)-QUARTILE($E$5:$E$204,1))),"Review","Within range")</f>
        <v/>
      </c>
      <c r="T57" s="6">
        <f>IF(COUNTBLANK(A57:E57)&gt;0,"Missing value",IF(COUNTIF(B57:E57,"&lt;0")&gt;0,"Negative value",IF(COUNTIF($A$5:$A$204,A57)&gt;1,"Duplicate market ID",IF(OR(P57="Review",Q57="Review",R57="Review",S57="Review"),"Review outlier","OK"))))</f>
        <v/>
      </c>
    </row>
    <row r="58">
      <c r="A58" s="6">
        <f>Raw_Data!A58</f>
        <v/>
      </c>
      <c r="B58" s="7">
        <f>Raw_Data!B58</f>
        <v/>
      </c>
      <c r="C58" s="7">
        <f>Raw_Data!C58</f>
        <v/>
      </c>
      <c r="D58" s="7">
        <f>Raw_Data!D58</f>
        <v/>
      </c>
      <c r="E58" s="7">
        <f>Raw_Data!E58</f>
        <v/>
      </c>
      <c r="F58" s="7">
        <f>SUM(B58:D58)</f>
        <v/>
      </c>
      <c r="G58" s="8">
        <f>IFERROR(B58/F58,0)</f>
        <v/>
      </c>
      <c r="H58" s="8">
        <f>IFERROR(C58/F58,0)</f>
        <v/>
      </c>
      <c r="I58" s="8">
        <f>IFERROR(D58/F58,0)</f>
        <v/>
      </c>
      <c r="J58" s="9">
        <f>IFERROR(E58/F58,0)</f>
        <v/>
      </c>
      <c r="K58" s="9">
        <f>IFERROR((B58-AVERAGE($B$5:$B$204))/STDEV($B$5:$B$204),0)</f>
        <v/>
      </c>
      <c r="L58" s="9">
        <f>IFERROR((C58-AVERAGE($C$5:$C$204))/STDEV($C$5:$C$204),0)</f>
        <v/>
      </c>
      <c r="M58" s="9">
        <f>IFERROR((D58-AVERAGE($D$5:$D$204))/STDEV($D$5:$D$204),0)</f>
        <v/>
      </c>
      <c r="N58" s="9">
        <f>IFERROR((E58-AVERAGE($E$5:$E$204))/STDEV($E$5:$E$204),0)</f>
        <v/>
      </c>
      <c r="O58" s="9">
        <f>IFERROR((F58-AVERAGE($F$5:$F$204))/STDEV($F$5:$F$204),0)</f>
        <v/>
      </c>
      <c r="P58" s="6">
        <f>IF(OR(B58&lt;QUARTILE($B$5:$B$204,1)-1.5*(QUARTILE($B$5:$B$204,3)-QUARTILE($B$5:$B$204,1)),B58&gt;QUARTILE($B$5:$B$204,3)+1.5*(QUARTILE($B$5:$B$204,3)-QUARTILE($B$5:$B$204,1))),"Review","Within range")</f>
        <v/>
      </c>
      <c r="Q58" s="6">
        <f>IF(OR(C58&lt;QUARTILE($C$5:$C$204,1)-1.5*(QUARTILE($C$5:$C$204,3)-QUARTILE($C$5:$C$204,1)),C58&gt;QUARTILE($C$5:$C$204,3)+1.5*(QUARTILE($C$5:$C$204,3)-QUARTILE($C$5:$C$204,1))),"Review","Within range")</f>
        <v/>
      </c>
      <c r="R58" s="6">
        <f>IF(OR(D58&lt;QUARTILE($D$5:$D$204,1)-1.5*(QUARTILE($D$5:$D$204,3)-QUARTILE($D$5:$D$204,1)),D58&gt;QUARTILE($D$5:$D$204,3)+1.5*(QUARTILE($D$5:$D$204,3)-QUARTILE($D$5:$D$204,1))),"Review","Within range")</f>
        <v/>
      </c>
      <c r="S58" s="6">
        <f>IF(OR(E58&lt;QUARTILE($E$5:$E$204,1)-1.5*(QUARTILE($E$5:$E$204,3)-QUARTILE($E$5:$E$204,1)),E58&gt;QUARTILE($E$5:$E$204,3)+1.5*(QUARTILE($E$5:$E$204,3)-QUARTILE($E$5:$E$204,1))),"Review","Within range")</f>
        <v/>
      </c>
      <c r="T58" s="6">
        <f>IF(COUNTBLANK(A58:E58)&gt;0,"Missing value",IF(COUNTIF(B58:E58,"&lt;0")&gt;0,"Negative value",IF(COUNTIF($A$5:$A$204,A58)&gt;1,"Duplicate market ID",IF(OR(P58="Review",Q58="Review",R58="Review",S58="Review"),"Review outlier","OK"))))</f>
        <v/>
      </c>
    </row>
    <row r="59">
      <c r="A59" s="6">
        <f>Raw_Data!A59</f>
        <v/>
      </c>
      <c r="B59" s="7">
        <f>Raw_Data!B59</f>
        <v/>
      </c>
      <c r="C59" s="7">
        <f>Raw_Data!C59</f>
        <v/>
      </c>
      <c r="D59" s="7">
        <f>Raw_Data!D59</f>
        <v/>
      </c>
      <c r="E59" s="7">
        <f>Raw_Data!E59</f>
        <v/>
      </c>
      <c r="F59" s="7">
        <f>SUM(B59:D59)</f>
        <v/>
      </c>
      <c r="G59" s="8">
        <f>IFERROR(B59/F59,0)</f>
        <v/>
      </c>
      <c r="H59" s="8">
        <f>IFERROR(C59/F59,0)</f>
        <v/>
      </c>
      <c r="I59" s="8">
        <f>IFERROR(D59/F59,0)</f>
        <v/>
      </c>
      <c r="J59" s="9">
        <f>IFERROR(E59/F59,0)</f>
        <v/>
      </c>
      <c r="K59" s="9">
        <f>IFERROR((B59-AVERAGE($B$5:$B$204))/STDEV($B$5:$B$204),0)</f>
        <v/>
      </c>
      <c r="L59" s="9">
        <f>IFERROR((C59-AVERAGE($C$5:$C$204))/STDEV($C$5:$C$204),0)</f>
        <v/>
      </c>
      <c r="M59" s="9">
        <f>IFERROR((D59-AVERAGE($D$5:$D$204))/STDEV($D$5:$D$204),0)</f>
        <v/>
      </c>
      <c r="N59" s="9">
        <f>IFERROR((E59-AVERAGE($E$5:$E$204))/STDEV($E$5:$E$204),0)</f>
        <v/>
      </c>
      <c r="O59" s="9">
        <f>IFERROR((F59-AVERAGE($F$5:$F$204))/STDEV($F$5:$F$204),0)</f>
        <v/>
      </c>
      <c r="P59" s="6">
        <f>IF(OR(B59&lt;QUARTILE($B$5:$B$204,1)-1.5*(QUARTILE($B$5:$B$204,3)-QUARTILE($B$5:$B$204,1)),B59&gt;QUARTILE($B$5:$B$204,3)+1.5*(QUARTILE($B$5:$B$204,3)-QUARTILE($B$5:$B$204,1))),"Review","Within range")</f>
        <v/>
      </c>
      <c r="Q59" s="6">
        <f>IF(OR(C59&lt;QUARTILE($C$5:$C$204,1)-1.5*(QUARTILE($C$5:$C$204,3)-QUARTILE($C$5:$C$204,1)),C59&gt;QUARTILE($C$5:$C$204,3)+1.5*(QUARTILE($C$5:$C$204,3)-QUARTILE($C$5:$C$204,1))),"Review","Within range")</f>
        <v/>
      </c>
      <c r="R59" s="6">
        <f>IF(OR(D59&lt;QUARTILE($D$5:$D$204,1)-1.5*(QUARTILE($D$5:$D$204,3)-QUARTILE($D$5:$D$204,1)),D59&gt;QUARTILE($D$5:$D$204,3)+1.5*(QUARTILE($D$5:$D$204,3)-QUARTILE($D$5:$D$204,1))),"Review","Within range")</f>
        <v/>
      </c>
      <c r="S59" s="6">
        <f>IF(OR(E59&lt;QUARTILE($E$5:$E$204,1)-1.5*(QUARTILE($E$5:$E$204,3)-QUARTILE($E$5:$E$204,1)),E59&gt;QUARTILE($E$5:$E$204,3)+1.5*(QUARTILE($E$5:$E$204,3)-QUARTILE($E$5:$E$204,1))),"Review","Within range")</f>
        <v/>
      </c>
      <c r="T59" s="6">
        <f>IF(COUNTBLANK(A59:E59)&gt;0,"Missing value",IF(COUNTIF(B59:E59,"&lt;0")&gt;0,"Negative value",IF(COUNTIF($A$5:$A$204,A59)&gt;1,"Duplicate market ID",IF(OR(P59="Review",Q59="Review",R59="Review",S59="Review"),"Review outlier","OK"))))</f>
        <v/>
      </c>
    </row>
    <row r="60">
      <c r="A60" s="6">
        <f>Raw_Data!A60</f>
        <v/>
      </c>
      <c r="B60" s="7">
        <f>Raw_Data!B60</f>
        <v/>
      </c>
      <c r="C60" s="7">
        <f>Raw_Data!C60</f>
        <v/>
      </c>
      <c r="D60" s="7">
        <f>Raw_Data!D60</f>
        <v/>
      </c>
      <c r="E60" s="7">
        <f>Raw_Data!E60</f>
        <v/>
      </c>
      <c r="F60" s="7">
        <f>SUM(B60:D60)</f>
        <v/>
      </c>
      <c r="G60" s="8">
        <f>IFERROR(B60/F60,0)</f>
        <v/>
      </c>
      <c r="H60" s="8">
        <f>IFERROR(C60/F60,0)</f>
        <v/>
      </c>
      <c r="I60" s="8">
        <f>IFERROR(D60/F60,0)</f>
        <v/>
      </c>
      <c r="J60" s="9">
        <f>IFERROR(E60/F60,0)</f>
        <v/>
      </c>
      <c r="K60" s="9">
        <f>IFERROR((B60-AVERAGE($B$5:$B$204))/STDEV($B$5:$B$204),0)</f>
        <v/>
      </c>
      <c r="L60" s="9">
        <f>IFERROR((C60-AVERAGE($C$5:$C$204))/STDEV($C$5:$C$204),0)</f>
        <v/>
      </c>
      <c r="M60" s="9">
        <f>IFERROR((D60-AVERAGE($D$5:$D$204))/STDEV($D$5:$D$204),0)</f>
        <v/>
      </c>
      <c r="N60" s="9">
        <f>IFERROR((E60-AVERAGE($E$5:$E$204))/STDEV($E$5:$E$204),0)</f>
        <v/>
      </c>
      <c r="O60" s="9">
        <f>IFERROR((F60-AVERAGE($F$5:$F$204))/STDEV($F$5:$F$204),0)</f>
        <v/>
      </c>
      <c r="P60" s="6">
        <f>IF(OR(B60&lt;QUARTILE($B$5:$B$204,1)-1.5*(QUARTILE($B$5:$B$204,3)-QUARTILE($B$5:$B$204,1)),B60&gt;QUARTILE($B$5:$B$204,3)+1.5*(QUARTILE($B$5:$B$204,3)-QUARTILE($B$5:$B$204,1))),"Review","Within range")</f>
        <v/>
      </c>
      <c r="Q60" s="6">
        <f>IF(OR(C60&lt;QUARTILE($C$5:$C$204,1)-1.5*(QUARTILE($C$5:$C$204,3)-QUARTILE($C$5:$C$204,1)),C60&gt;QUARTILE($C$5:$C$204,3)+1.5*(QUARTILE($C$5:$C$204,3)-QUARTILE($C$5:$C$204,1))),"Review","Within range")</f>
        <v/>
      </c>
      <c r="R60" s="6">
        <f>IF(OR(D60&lt;QUARTILE($D$5:$D$204,1)-1.5*(QUARTILE($D$5:$D$204,3)-QUARTILE($D$5:$D$204,1)),D60&gt;QUARTILE($D$5:$D$204,3)+1.5*(QUARTILE($D$5:$D$204,3)-QUARTILE($D$5:$D$204,1))),"Review","Within range")</f>
        <v/>
      </c>
      <c r="S60" s="6">
        <f>IF(OR(E60&lt;QUARTILE($E$5:$E$204,1)-1.5*(QUARTILE($E$5:$E$204,3)-QUARTILE($E$5:$E$204,1)),E60&gt;QUARTILE($E$5:$E$204,3)+1.5*(QUARTILE($E$5:$E$204,3)-QUARTILE($E$5:$E$204,1))),"Review","Within range")</f>
        <v/>
      </c>
      <c r="T60" s="6">
        <f>IF(COUNTBLANK(A60:E60)&gt;0,"Missing value",IF(COUNTIF(B60:E60,"&lt;0")&gt;0,"Negative value",IF(COUNTIF($A$5:$A$204,A60)&gt;1,"Duplicate market ID",IF(OR(P60="Review",Q60="Review",R60="Review",S60="Review"),"Review outlier","OK"))))</f>
        <v/>
      </c>
    </row>
    <row r="61">
      <c r="A61" s="6">
        <f>Raw_Data!A61</f>
        <v/>
      </c>
      <c r="B61" s="7">
        <f>Raw_Data!B61</f>
        <v/>
      </c>
      <c r="C61" s="7">
        <f>Raw_Data!C61</f>
        <v/>
      </c>
      <c r="D61" s="7">
        <f>Raw_Data!D61</f>
        <v/>
      </c>
      <c r="E61" s="7">
        <f>Raw_Data!E61</f>
        <v/>
      </c>
      <c r="F61" s="7">
        <f>SUM(B61:D61)</f>
        <v/>
      </c>
      <c r="G61" s="8">
        <f>IFERROR(B61/F61,0)</f>
        <v/>
      </c>
      <c r="H61" s="8">
        <f>IFERROR(C61/F61,0)</f>
        <v/>
      </c>
      <c r="I61" s="8">
        <f>IFERROR(D61/F61,0)</f>
        <v/>
      </c>
      <c r="J61" s="9">
        <f>IFERROR(E61/F61,0)</f>
        <v/>
      </c>
      <c r="K61" s="9">
        <f>IFERROR((B61-AVERAGE($B$5:$B$204))/STDEV($B$5:$B$204),0)</f>
        <v/>
      </c>
      <c r="L61" s="9">
        <f>IFERROR((C61-AVERAGE($C$5:$C$204))/STDEV($C$5:$C$204),0)</f>
        <v/>
      </c>
      <c r="M61" s="9">
        <f>IFERROR((D61-AVERAGE($D$5:$D$204))/STDEV($D$5:$D$204),0)</f>
        <v/>
      </c>
      <c r="N61" s="9">
        <f>IFERROR((E61-AVERAGE($E$5:$E$204))/STDEV($E$5:$E$204),0)</f>
        <v/>
      </c>
      <c r="O61" s="9">
        <f>IFERROR((F61-AVERAGE($F$5:$F$204))/STDEV($F$5:$F$204),0)</f>
        <v/>
      </c>
      <c r="P61" s="6">
        <f>IF(OR(B61&lt;QUARTILE($B$5:$B$204,1)-1.5*(QUARTILE($B$5:$B$204,3)-QUARTILE($B$5:$B$204,1)),B61&gt;QUARTILE($B$5:$B$204,3)+1.5*(QUARTILE($B$5:$B$204,3)-QUARTILE($B$5:$B$204,1))),"Review","Within range")</f>
        <v/>
      </c>
      <c r="Q61" s="6">
        <f>IF(OR(C61&lt;QUARTILE($C$5:$C$204,1)-1.5*(QUARTILE($C$5:$C$204,3)-QUARTILE($C$5:$C$204,1)),C61&gt;QUARTILE($C$5:$C$204,3)+1.5*(QUARTILE($C$5:$C$204,3)-QUARTILE($C$5:$C$204,1))),"Review","Within range")</f>
        <v/>
      </c>
      <c r="R61" s="6">
        <f>IF(OR(D61&lt;QUARTILE($D$5:$D$204,1)-1.5*(QUARTILE($D$5:$D$204,3)-QUARTILE($D$5:$D$204,1)),D61&gt;QUARTILE($D$5:$D$204,3)+1.5*(QUARTILE($D$5:$D$204,3)-QUARTILE($D$5:$D$204,1))),"Review","Within range")</f>
        <v/>
      </c>
      <c r="S61" s="6">
        <f>IF(OR(E61&lt;QUARTILE($E$5:$E$204,1)-1.5*(QUARTILE($E$5:$E$204,3)-QUARTILE($E$5:$E$204,1)),E61&gt;QUARTILE($E$5:$E$204,3)+1.5*(QUARTILE($E$5:$E$204,3)-QUARTILE($E$5:$E$204,1))),"Review","Within range")</f>
        <v/>
      </c>
      <c r="T61" s="6">
        <f>IF(COUNTBLANK(A61:E61)&gt;0,"Missing value",IF(COUNTIF(B61:E61,"&lt;0")&gt;0,"Negative value",IF(COUNTIF($A$5:$A$204,A61)&gt;1,"Duplicate market ID",IF(OR(P61="Review",Q61="Review",R61="Review",S61="Review"),"Review outlier","OK"))))</f>
        <v/>
      </c>
    </row>
    <row r="62">
      <c r="A62" s="6">
        <f>Raw_Data!A62</f>
        <v/>
      </c>
      <c r="B62" s="7">
        <f>Raw_Data!B62</f>
        <v/>
      </c>
      <c r="C62" s="7">
        <f>Raw_Data!C62</f>
        <v/>
      </c>
      <c r="D62" s="7">
        <f>Raw_Data!D62</f>
        <v/>
      </c>
      <c r="E62" s="7">
        <f>Raw_Data!E62</f>
        <v/>
      </c>
      <c r="F62" s="7">
        <f>SUM(B62:D62)</f>
        <v/>
      </c>
      <c r="G62" s="8">
        <f>IFERROR(B62/F62,0)</f>
        <v/>
      </c>
      <c r="H62" s="8">
        <f>IFERROR(C62/F62,0)</f>
        <v/>
      </c>
      <c r="I62" s="8">
        <f>IFERROR(D62/F62,0)</f>
        <v/>
      </c>
      <c r="J62" s="9">
        <f>IFERROR(E62/F62,0)</f>
        <v/>
      </c>
      <c r="K62" s="9">
        <f>IFERROR((B62-AVERAGE($B$5:$B$204))/STDEV($B$5:$B$204),0)</f>
        <v/>
      </c>
      <c r="L62" s="9">
        <f>IFERROR((C62-AVERAGE($C$5:$C$204))/STDEV($C$5:$C$204),0)</f>
        <v/>
      </c>
      <c r="M62" s="9">
        <f>IFERROR((D62-AVERAGE($D$5:$D$204))/STDEV($D$5:$D$204),0)</f>
        <v/>
      </c>
      <c r="N62" s="9">
        <f>IFERROR((E62-AVERAGE($E$5:$E$204))/STDEV($E$5:$E$204),0)</f>
        <v/>
      </c>
      <c r="O62" s="9">
        <f>IFERROR((F62-AVERAGE($F$5:$F$204))/STDEV($F$5:$F$204),0)</f>
        <v/>
      </c>
      <c r="P62" s="6">
        <f>IF(OR(B62&lt;QUARTILE($B$5:$B$204,1)-1.5*(QUARTILE($B$5:$B$204,3)-QUARTILE($B$5:$B$204,1)),B62&gt;QUARTILE($B$5:$B$204,3)+1.5*(QUARTILE($B$5:$B$204,3)-QUARTILE($B$5:$B$204,1))),"Review","Within range")</f>
        <v/>
      </c>
      <c r="Q62" s="6">
        <f>IF(OR(C62&lt;QUARTILE($C$5:$C$204,1)-1.5*(QUARTILE($C$5:$C$204,3)-QUARTILE($C$5:$C$204,1)),C62&gt;QUARTILE($C$5:$C$204,3)+1.5*(QUARTILE($C$5:$C$204,3)-QUARTILE($C$5:$C$204,1))),"Review","Within range")</f>
        <v/>
      </c>
      <c r="R62" s="6">
        <f>IF(OR(D62&lt;QUARTILE($D$5:$D$204,1)-1.5*(QUARTILE($D$5:$D$204,3)-QUARTILE($D$5:$D$204,1)),D62&gt;QUARTILE($D$5:$D$204,3)+1.5*(QUARTILE($D$5:$D$204,3)-QUARTILE($D$5:$D$204,1))),"Review","Within range")</f>
        <v/>
      </c>
      <c r="S62" s="6">
        <f>IF(OR(E62&lt;QUARTILE($E$5:$E$204,1)-1.5*(QUARTILE($E$5:$E$204,3)-QUARTILE($E$5:$E$204,1)),E62&gt;QUARTILE($E$5:$E$204,3)+1.5*(QUARTILE($E$5:$E$204,3)-QUARTILE($E$5:$E$204,1))),"Review","Within range")</f>
        <v/>
      </c>
      <c r="T62" s="6">
        <f>IF(COUNTBLANK(A62:E62)&gt;0,"Missing value",IF(COUNTIF(B62:E62,"&lt;0")&gt;0,"Negative value",IF(COUNTIF($A$5:$A$204,A62)&gt;1,"Duplicate market ID",IF(OR(P62="Review",Q62="Review",R62="Review",S62="Review"),"Review outlier","OK"))))</f>
        <v/>
      </c>
    </row>
    <row r="63">
      <c r="A63" s="6">
        <f>Raw_Data!A63</f>
        <v/>
      </c>
      <c r="B63" s="7">
        <f>Raw_Data!B63</f>
        <v/>
      </c>
      <c r="C63" s="7">
        <f>Raw_Data!C63</f>
        <v/>
      </c>
      <c r="D63" s="7">
        <f>Raw_Data!D63</f>
        <v/>
      </c>
      <c r="E63" s="7">
        <f>Raw_Data!E63</f>
        <v/>
      </c>
      <c r="F63" s="7">
        <f>SUM(B63:D63)</f>
        <v/>
      </c>
      <c r="G63" s="8">
        <f>IFERROR(B63/F63,0)</f>
        <v/>
      </c>
      <c r="H63" s="8">
        <f>IFERROR(C63/F63,0)</f>
        <v/>
      </c>
      <c r="I63" s="8">
        <f>IFERROR(D63/F63,0)</f>
        <v/>
      </c>
      <c r="J63" s="9">
        <f>IFERROR(E63/F63,0)</f>
        <v/>
      </c>
      <c r="K63" s="9">
        <f>IFERROR((B63-AVERAGE($B$5:$B$204))/STDEV($B$5:$B$204),0)</f>
        <v/>
      </c>
      <c r="L63" s="9">
        <f>IFERROR((C63-AVERAGE($C$5:$C$204))/STDEV($C$5:$C$204),0)</f>
        <v/>
      </c>
      <c r="M63" s="9">
        <f>IFERROR((D63-AVERAGE($D$5:$D$204))/STDEV($D$5:$D$204),0)</f>
        <v/>
      </c>
      <c r="N63" s="9">
        <f>IFERROR((E63-AVERAGE($E$5:$E$204))/STDEV($E$5:$E$204),0)</f>
        <v/>
      </c>
      <c r="O63" s="9">
        <f>IFERROR((F63-AVERAGE($F$5:$F$204))/STDEV($F$5:$F$204),0)</f>
        <v/>
      </c>
      <c r="P63" s="6">
        <f>IF(OR(B63&lt;QUARTILE($B$5:$B$204,1)-1.5*(QUARTILE($B$5:$B$204,3)-QUARTILE($B$5:$B$204,1)),B63&gt;QUARTILE($B$5:$B$204,3)+1.5*(QUARTILE($B$5:$B$204,3)-QUARTILE($B$5:$B$204,1))),"Review","Within range")</f>
        <v/>
      </c>
      <c r="Q63" s="6">
        <f>IF(OR(C63&lt;QUARTILE($C$5:$C$204,1)-1.5*(QUARTILE($C$5:$C$204,3)-QUARTILE($C$5:$C$204,1)),C63&gt;QUARTILE($C$5:$C$204,3)+1.5*(QUARTILE($C$5:$C$204,3)-QUARTILE($C$5:$C$204,1))),"Review","Within range")</f>
        <v/>
      </c>
      <c r="R63" s="6">
        <f>IF(OR(D63&lt;QUARTILE($D$5:$D$204,1)-1.5*(QUARTILE($D$5:$D$204,3)-QUARTILE($D$5:$D$204,1)),D63&gt;QUARTILE($D$5:$D$204,3)+1.5*(QUARTILE($D$5:$D$204,3)-QUARTILE($D$5:$D$204,1))),"Review","Within range")</f>
        <v/>
      </c>
      <c r="S63" s="6">
        <f>IF(OR(E63&lt;QUARTILE($E$5:$E$204,1)-1.5*(QUARTILE($E$5:$E$204,3)-QUARTILE($E$5:$E$204,1)),E63&gt;QUARTILE($E$5:$E$204,3)+1.5*(QUARTILE($E$5:$E$204,3)-QUARTILE($E$5:$E$204,1))),"Review","Within range")</f>
        <v/>
      </c>
      <c r="T63" s="6">
        <f>IF(COUNTBLANK(A63:E63)&gt;0,"Missing value",IF(COUNTIF(B63:E63,"&lt;0")&gt;0,"Negative value",IF(COUNTIF($A$5:$A$204,A63)&gt;1,"Duplicate market ID",IF(OR(P63="Review",Q63="Review",R63="Review",S63="Review"),"Review outlier","OK"))))</f>
        <v/>
      </c>
    </row>
    <row r="64">
      <c r="A64" s="6">
        <f>Raw_Data!A64</f>
        <v/>
      </c>
      <c r="B64" s="7">
        <f>Raw_Data!B64</f>
        <v/>
      </c>
      <c r="C64" s="7">
        <f>Raw_Data!C64</f>
        <v/>
      </c>
      <c r="D64" s="7">
        <f>Raw_Data!D64</f>
        <v/>
      </c>
      <c r="E64" s="7">
        <f>Raw_Data!E64</f>
        <v/>
      </c>
      <c r="F64" s="7">
        <f>SUM(B64:D64)</f>
        <v/>
      </c>
      <c r="G64" s="8">
        <f>IFERROR(B64/F64,0)</f>
        <v/>
      </c>
      <c r="H64" s="8">
        <f>IFERROR(C64/F64,0)</f>
        <v/>
      </c>
      <c r="I64" s="8">
        <f>IFERROR(D64/F64,0)</f>
        <v/>
      </c>
      <c r="J64" s="9">
        <f>IFERROR(E64/F64,0)</f>
        <v/>
      </c>
      <c r="K64" s="9">
        <f>IFERROR((B64-AVERAGE($B$5:$B$204))/STDEV($B$5:$B$204),0)</f>
        <v/>
      </c>
      <c r="L64" s="9">
        <f>IFERROR((C64-AVERAGE($C$5:$C$204))/STDEV($C$5:$C$204),0)</f>
        <v/>
      </c>
      <c r="M64" s="9">
        <f>IFERROR((D64-AVERAGE($D$5:$D$204))/STDEV($D$5:$D$204),0)</f>
        <v/>
      </c>
      <c r="N64" s="9">
        <f>IFERROR((E64-AVERAGE($E$5:$E$204))/STDEV($E$5:$E$204),0)</f>
        <v/>
      </c>
      <c r="O64" s="9">
        <f>IFERROR((F64-AVERAGE($F$5:$F$204))/STDEV($F$5:$F$204),0)</f>
        <v/>
      </c>
      <c r="P64" s="6">
        <f>IF(OR(B64&lt;QUARTILE($B$5:$B$204,1)-1.5*(QUARTILE($B$5:$B$204,3)-QUARTILE($B$5:$B$204,1)),B64&gt;QUARTILE($B$5:$B$204,3)+1.5*(QUARTILE($B$5:$B$204,3)-QUARTILE($B$5:$B$204,1))),"Review","Within range")</f>
        <v/>
      </c>
      <c r="Q64" s="6">
        <f>IF(OR(C64&lt;QUARTILE($C$5:$C$204,1)-1.5*(QUARTILE($C$5:$C$204,3)-QUARTILE($C$5:$C$204,1)),C64&gt;QUARTILE($C$5:$C$204,3)+1.5*(QUARTILE($C$5:$C$204,3)-QUARTILE($C$5:$C$204,1))),"Review","Within range")</f>
        <v/>
      </c>
      <c r="R64" s="6">
        <f>IF(OR(D64&lt;QUARTILE($D$5:$D$204,1)-1.5*(QUARTILE($D$5:$D$204,3)-QUARTILE($D$5:$D$204,1)),D64&gt;QUARTILE($D$5:$D$204,3)+1.5*(QUARTILE($D$5:$D$204,3)-QUARTILE($D$5:$D$204,1))),"Review","Within range")</f>
        <v/>
      </c>
      <c r="S64" s="6">
        <f>IF(OR(E64&lt;QUARTILE($E$5:$E$204,1)-1.5*(QUARTILE($E$5:$E$204,3)-QUARTILE($E$5:$E$204,1)),E64&gt;QUARTILE($E$5:$E$204,3)+1.5*(QUARTILE($E$5:$E$204,3)-QUARTILE($E$5:$E$204,1))),"Review","Within range")</f>
        <v/>
      </c>
      <c r="T64" s="6">
        <f>IF(COUNTBLANK(A64:E64)&gt;0,"Missing value",IF(COUNTIF(B64:E64,"&lt;0")&gt;0,"Negative value",IF(COUNTIF($A$5:$A$204,A64)&gt;1,"Duplicate market ID",IF(OR(P64="Review",Q64="Review",R64="Review",S64="Review"),"Review outlier","OK"))))</f>
        <v/>
      </c>
    </row>
    <row r="65">
      <c r="A65" s="6">
        <f>Raw_Data!A65</f>
        <v/>
      </c>
      <c r="B65" s="7">
        <f>Raw_Data!B65</f>
        <v/>
      </c>
      <c r="C65" s="7">
        <f>Raw_Data!C65</f>
        <v/>
      </c>
      <c r="D65" s="7">
        <f>Raw_Data!D65</f>
        <v/>
      </c>
      <c r="E65" s="7">
        <f>Raw_Data!E65</f>
        <v/>
      </c>
      <c r="F65" s="7">
        <f>SUM(B65:D65)</f>
        <v/>
      </c>
      <c r="G65" s="8">
        <f>IFERROR(B65/F65,0)</f>
        <v/>
      </c>
      <c r="H65" s="8">
        <f>IFERROR(C65/F65,0)</f>
        <v/>
      </c>
      <c r="I65" s="8">
        <f>IFERROR(D65/F65,0)</f>
        <v/>
      </c>
      <c r="J65" s="9">
        <f>IFERROR(E65/F65,0)</f>
        <v/>
      </c>
      <c r="K65" s="9">
        <f>IFERROR((B65-AVERAGE($B$5:$B$204))/STDEV($B$5:$B$204),0)</f>
        <v/>
      </c>
      <c r="L65" s="9">
        <f>IFERROR((C65-AVERAGE($C$5:$C$204))/STDEV($C$5:$C$204),0)</f>
        <v/>
      </c>
      <c r="M65" s="9">
        <f>IFERROR((D65-AVERAGE($D$5:$D$204))/STDEV($D$5:$D$204),0)</f>
        <v/>
      </c>
      <c r="N65" s="9">
        <f>IFERROR((E65-AVERAGE($E$5:$E$204))/STDEV($E$5:$E$204),0)</f>
        <v/>
      </c>
      <c r="O65" s="9">
        <f>IFERROR((F65-AVERAGE($F$5:$F$204))/STDEV($F$5:$F$204),0)</f>
        <v/>
      </c>
      <c r="P65" s="6">
        <f>IF(OR(B65&lt;QUARTILE($B$5:$B$204,1)-1.5*(QUARTILE($B$5:$B$204,3)-QUARTILE($B$5:$B$204,1)),B65&gt;QUARTILE($B$5:$B$204,3)+1.5*(QUARTILE($B$5:$B$204,3)-QUARTILE($B$5:$B$204,1))),"Review","Within range")</f>
        <v/>
      </c>
      <c r="Q65" s="6">
        <f>IF(OR(C65&lt;QUARTILE($C$5:$C$204,1)-1.5*(QUARTILE($C$5:$C$204,3)-QUARTILE($C$5:$C$204,1)),C65&gt;QUARTILE($C$5:$C$204,3)+1.5*(QUARTILE($C$5:$C$204,3)-QUARTILE($C$5:$C$204,1))),"Review","Within range")</f>
        <v/>
      </c>
      <c r="R65" s="6">
        <f>IF(OR(D65&lt;QUARTILE($D$5:$D$204,1)-1.5*(QUARTILE($D$5:$D$204,3)-QUARTILE($D$5:$D$204,1)),D65&gt;QUARTILE($D$5:$D$204,3)+1.5*(QUARTILE($D$5:$D$204,3)-QUARTILE($D$5:$D$204,1))),"Review","Within range")</f>
        <v/>
      </c>
      <c r="S65" s="6">
        <f>IF(OR(E65&lt;QUARTILE($E$5:$E$204,1)-1.5*(QUARTILE($E$5:$E$204,3)-QUARTILE($E$5:$E$204,1)),E65&gt;QUARTILE($E$5:$E$204,3)+1.5*(QUARTILE($E$5:$E$204,3)-QUARTILE($E$5:$E$204,1))),"Review","Within range")</f>
        <v/>
      </c>
      <c r="T65" s="6">
        <f>IF(COUNTBLANK(A65:E65)&gt;0,"Missing value",IF(COUNTIF(B65:E65,"&lt;0")&gt;0,"Negative value",IF(COUNTIF($A$5:$A$204,A65)&gt;1,"Duplicate market ID",IF(OR(P65="Review",Q65="Review",R65="Review",S65="Review"),"Review outlier","OK"))))</f>
        <v/>
      </c>
    </row>
    <row r="66">
      <c r="A66" s="6">
        <f>Raw_Data!A66</f>
        <v/>
      </c>
      <c r="B66" s="7">
        <f>Raw_Data!B66</f>
        <v/>
      </c>
      <c r="C66" s="7">
        <f>Raw_Data!C66</f>
        <v/>
      </c>
      <c r="D66" s="7">
        <f>Raw_Data!D66</f>
        <v/>
      </c>
      <c r="E66" s="7">
        <f>Raw_Data!E66</f>
        <v/>
      </c>
      <c r="F66" s="7">
        <f>SUM(B66:D66)</f>
        <v/>
      </c>
      <c r="G66" s="8">
        <f>IFERROR(B66/F66,0)</f>
        <v/>
      </c>
      <c r="H66" s="8">
        <f>IFERROR(C66/F66,0)</f>
        <v/>
      </c>
      <c r="I66" s="8">
        <f>IFERROR(D66/F66,0)</f>
        <v/>
      </c>
      <c r="J66" s="9">
        <f>IFERROR(E66/F66,0)</f>
        <v/>
      </c>
      <c r="K66" s="9">
        <f>IFERROR((B66-AVERAGE($B$5:$B$204))/STDEV($B$5:$B$204),0)</f>
        <v/>
      </c>
      <c r="L66" s="9">
        <f>IFERROR((C66-AVERAGE($C$5:$C$204))/STDEV($C$5:$C$204),0)</f>
        <v/>
      </c>
      <c r="M66" s="9">
        <f>IFERROR((D66-AVERAGE($D$5:$D$204))/STDEV($D$5:$D$204),0)</f>
        <v/>
      </c>
      <c r="N66" s="9">
        <f>IFERROR((E66-AVERAGE($E$5:$E$204))/STDEV($E$5:$E$204),0)</f>
        <v/>
      </c>
      <c r="O66" s="9">
        <f>IFERROR((F66-AVERAGE($F$5:$F$204))/STDEV($F$5:$F$204),0)</f>
        <v/>
      </c>
      <c r="P66" s="6">
        <f>IF(OR(B66&lt;QUARTILE($B$5:$B$204,1)-1.5*(QUARTILE($B$5:$B$204,3)-QUARTILE($B$5:$B$204,1)),B66&gt;QUARTILE($B$5:$B$204,3)+1.5*(QUARTILE($B$5:$B$204,3)-QUARTILE($B$5:$B$204,1))),"Review","Within range")</f>
        <v/>
      </c>
      <c r="Q66" s="6">
        <f>IF(OR(C66&lt;QUARTILE($C$5:$C$204,1)-1.5*(QUARTILE($C$5:$C$204,3)-QUARTILE($C$5:$C$204,1)),C66&gt;QUARTILE($C$5:$C$204,3)+1.5*(QUARTILE($C$5:$C$204,3)-QUARTILE($C$5:$C$204,1))),"Review","Within range")</f>
        <v/>
      </c>
      <c r="R66" s="6">
        <f>IF(OR(D66&lt;QUARTILE($D$5:$D$204,1)-1.5*(QUARTILE($D$5:$D$204,3)-QUARTILE($D$5:$D$204,1)),D66&gt;QUARTILE($D$5:$D$204,3)+1.5*(QUARTILE($D$5:$D$204,3)-QUARTILE($D$5:$D$204,1))),"Review","Within range")</f>
        <v/>
      </c>
      <c r="S66" s="6">
        <f>IF(OR(E66&lt;QUARTILE($E$5:$E$204,1)-1.5*(QUARTILE($E$5:$E$204,3)-QUARTILE($E$5:$E$204,1)),E66&gt;QUARTILE($E$5:$E$204,3)+1.5*(QUARTILE($E$5:$E$204,3)-QUARTILE($E$5:$E$204,1))),"Review","Within range")</f>
        <v/>
      </c>
      <c r="T66" s="6">
        <f>IF(COUNTBLANK(A66:E66)&gt;0,"Missing value",IF(COUNTIF(B66:E66,"&lt;0")&gt;0,"Negative value",IF(COUNTIF($A$5:$A$204,A66)&gt;1,"Duplicate market ID",IF(OR(P66="Review",Q66="Review",R66="Review",S66="Review"),"Review outlier","OK"))))</f>
        <v/>
      </c>
    </row>
    <row r="67">
      <c r="A67" s="6">
        <f>Raw_Data!A67</f>
        <v/>
      </c>
      <c r="B67" s="7">
        <f>Raw_Data!B67</f>
        <v/>
      </c>
      <c r="C67" s="7">
        <f>Raw_Data!C67</f>
        <v/>
      </c>
      <c r="D67" s="7">
        <f>Raw_Data!D67</f>
        <v/>
      </c>
      <c r="E67" s="7">
        <f>Raw_Data!E67</f>
        <v/>
      </c>
      <c r="F67" s="7">
        <f>SUM(B67:D67)</f>
        <v/>
      </c>
      <c r="G67" s="8">
        <f>IFERROR(B67/F67,0)</f>
        <v/>
      </c>
      <c r="H67" s="8">
        <f>IFERROR(C67/F67,0)</f>
        <v/>
      </c>
      <c r="I67" s="8">
        <f>IFERROR(D67/F67,0)</f>
        <v/>
      </c>
      <c r="J67" s="9">
        <f>IFERROR(E67/F67,0)</f>
        <v/>
      </c>
      <c r="K67" s="9">
        <f>IFERROR((B67-AVERAGE($B$5:$B$204))/STDEV($B$5:$B$204),0)</f>
        <v/>
      </c>
      <c r="L67" s="9">
        <f>IFERROR((C67-AVERAGE($C$5:$C$204))/STDEV($C$5:$C$204),0)</f>
        <v/>
      </c>
      <c r="M67" s="9">
        <f>IFERROR((D67-AVERAGE($D$5:$D$204))/STDEV($D$5:$D$204),0)</f>
        <v/>
      </c>
      <c r="N67" s="9">
        <f>IFERROR((E67-AVERAGE($E$5:$E$204))/STDEV($E$5:$E$204),0)</f>
        <v/>
      </c>
      <c r="O67" s="9">
        <f>IFERROR((F67-AVERAGE($F$5:$F$204))/STDEV($F$5:$F$204),0)</f>
        <v/>
      </c>
      <c r="P67" s="6">
        <f>IF(OR(B67&lt;QUARTILE($B$5:$B$204,1)-1.5*(QUARTILE($B$5:$B$204,3)-QUARTILE($B$5:$B$204,1)),B67&gt;QUARTILE($B$5:$B$204,3)+1.5*(QUARTILE($B$5:$B$204,3)-QUARTILE($B$5:$B$204,1))),"Review","Within range")</f>
        <v/>
      </c>
      <c r="Q67" s="6">
        <f>IF(OR(C67&lt;QUARTILE($C$5:$C$204,1)-1.5*(QUARTILE($C$5:$C$204,3)-QUARTILE($C$5:$C$204,1)),C67&gt;QUARTILE($C$5:$C$204,3)+1.5*(QUARTILE($C$5:$C$204,3)-QUARTILE($C$5:$C$204,1))),"Review","Within range")</f>
        <v/>
      </c>
      <c r="R67" s="6">
        <f>IF(OR(D67&lt;QUARTILE($D$5:$D$204,1)-1.5*(QUARTILE($D$5:$D$204,3)-QUARTILE($D$5:$D$204,1)),D67&gt;QUARTILE($D$5:$D$204,3)+1.5*(QUARTILE($D$5:$D$204,3)-QUARTILE($D$5:$D$204,1))),"Review","Within range")</f>
        <v/>
      </c>
      <c r="S67" s="6">
        <f>IF(OR(E67&lt;QUARTILE($E$5:$E$204,1)-1.5*(QUARTILE($E$5:$E$204,3)-QUARTILE($E$5:$E$204,1)),E67&gt;QUARTILE($E$5:$E$204,3)+1.5*(QUARTILE($E$5:$E$204,3)-QUARTILE($E$5:$E$204,1))),"Review","Within range")</f>
        <v/>
      </c>
      <c r="T67" s="6">
        <f>IF(COUNTBLANK(A67:E67)&gt;0,"Missing value",IF(COUNTIF(B67:E67,"&lt;0")&gt;0,"Negative value",IF(COUNTIF($A$5:$A$204,A67)&gt;1,"Duplicate market ID",IF(OR(P67="Review",Q67="Review",R67="Review",S67="Review"),"Review outlier","OK"))))</f>
        <v/>
      </c>
    </row>
    <row r="68">
      <c r="A68" s="6">
        <f>Raw_Data!A68</f>
        <v/>
      </c>
      <c r="B68" s="7">
        <f>Raw_Data!B68</f>
        <v/>
      </c>
      <c r="C68" s="7">
        <f>Raw_Data!C68</f>
        <v/>
      </c>
      <c r="D68" s="7">
        <f>Raw_Data!D68</f>
        <v/>
      </c>
      <c r="E68" s="7">
        <f>Raw_Data!E68</f>
        <v/>
      </c>
      <c r="F68" s="7">
        <f>SUM(B68:D68)</f>
        <v/>
      </c>
      <c r="G68" s="8">
        <f>IFERROR(B68/F68,0)</f>
        <v/>
      </c>
      <c r="H68" s="8">
        <f>IFERROR(C68/F68,0)</f>
        <v/>
      </c>
      <c r="I68" s="8">
        <f>IFERROR(D68/F68,0)</f>
        <v/>
      </c>
      <c r="J68" s="9">
        <f>IFERROR(E68/F68,0)</f>
        <v/>
      </c>
      <c r="K68" s="9">
        <f>IFERROR((B68-AVERAGE($B$5:$B$204))/STDEV($B$5:$B$204),0)</f>
        <v/>
      </c>
      <c r="L68" s="9">
        <f>IFERROR((C68-AVERAGE($C$5:$C$204))/STDEV($C$5:$C$204),0)</f>
        <v/>
      </c>
      <c r="M68" s="9">
        <f>IFERROR((D68-AVERAGE($D$5:$D$204))/STDEV($D$5:$D$204),0)</f>
        <v/>
      </c>
      <c r="N68" s="9">
        <f>IFERROR((E68-AVERAGE($E$5:$E$204))/STDEV($E$5:$E$204),0)</f>
        <v/>
      </c>
      <c r="O68" s="9">
        <f>IFERROR((F68-AVERAGE($F$5:$F$204))/STDEV($F$5:$F$204),0)</f>
        <v/>
      </c>
      <c r="P68" s="6">
        <f>IF(OR(B68&lt;QUARTILE($B$5:$B$204,1)-1.5*(QUARTILE($B$5:$B$204,3)-QUARTILE($B$5:$B$204,1)),B68&gt;QUARTILE($B$5:$B$204,3)+1.5*(QUARTILE($B$5:$B$204,3)-QUARTILE($B$5:$B$204,1))),"Review","Within range")</f>
        <v/>
      </c>
      <c r="Q68" s="6">
        <f>IF(OR(C68&lt;QUARTILE($C$5:$C$204,1)-1.5*(QUARTILE($C$5:$C$204,3)-QUARTILE($C$5:$C$204,1)),C68&gt;QUARTILE($C$5:$C$204,3)+1.5*(QUARTILE($C$5:$C$204,3)-QUARTILE($C$5:$C$204,1))),"Review","Within range")</f>
        <v/>
      </c>
      <c r="R68" s="6">
        <f>IF(OR(D68&lt;QUARTILE($D$5:$D$204,1)-1.5*(QUARTILE($D$5:$D$204,3)-QUARTILE($D$5:$D$204,1)),D68&gt;QUARTILE($D$5:$D$204,3)+1.5*(QUARTILE($D$5:$D$204,3)-QUARTILE($D$5:$D$204,1))),"Review","Within range")</f>
        <v/>
      </c>
      <c r="S68" s="6">
        <f>IF(OR(E68&lt;QUARTILE($E$5:$E$204,1)-1.5*(QUARTILE($E$5:$E$204,3)-QUARTILE($E$5:$E$204,1)),E68&gt;QUARTILE($E$5:$E$204,3)+1.5*(QUARTILE($E$5:$E$204,3)-QUARTILE($E$5:$E$204,1))),"Review","Within range")</f>
        <v/>
      </c>
      <c r="T68" s="6">
        <f>IF(COUNTBLANK(A68:E68)&gt;0,"Missing value",IF(COUNTIF(B68:E68,"&lt;0")&gt;0,"Negative value",IF(COUNTIF($A$5:$A$204,A68)&gt;1,"Duplicate market ID",IF(OR(P68="Review",Q68="Review",R68="Review",S68="Review"),"Review outlier","OK"))))</f>
        <v/>
      </c>
    </row>
    <row r="69">
      <c r="A69" s="6">
        <f>Raw_Data!A69</f>
        <v/>
      </c>
      <c r="B69" s="7">
        <f>Raw_Data!B69</f>
        <v/>
      </c>
      <c r="C69" s="7">
        <f>Raw_Data!C69</f>
        <v/>
      </c>
      <c r="D69" s="7">
        <f>Raw_Data!D69</f>
        <v/>
      </c>
      <c r="E69" s="7">
        <f>Raw_Data!E69</f>
        <v/>
      </c>
      <c r="F69" s="7">
        <f>SUM(B69:D69)</f>
        <v/>
      </c>
      <c r="G69" s="8">
        <f>IFERROR(B69/F69,0)</f>
        <v/>
      </c>
      <c r="H69" s="8">
        <f>IFERROR(C69/F69,0)</f>
        <v/>
      </c>
      <c r="I69" s="8">
        <f>IFERROR(D69/F69,0)</f>
        <v/>
      </c>
      <c r="J69" s="9">
        <f>IFERROR(E69/F69,0)</f>
        <v/>
      </c>
      <c r="K69" s="9">
        <f>IFERROR((B69-AVERAGE($B$5:$B$204))/STDEV($B$5:$B$204),0)</f>
        <v/>
      </c>
      <c r="L69" s="9">
        <f>IFERROR((C69-AVERAGE($C$5:$C$204))/STDEV($C$5:$C$204),0)</f>
        <v/>
      </c>
      <c r="M69" s="9">
        <f>IFERROR((D69-AVERAGE($D$5:$D$204))/STDEV($D$5:$D$204),0)</f>
        <v/>
      </c>
      <c r="N69" s="9">
        <f>IFERROR((E69-AVERAGE($E$5:$E$204))/STDEV($E$5:$E$204),0)</f>
        <v/>
      </c>
      <c r="O69" s="9">
        <f>IFERROR((F69-AVERAGE($F$5:$F$204))/STDEV($F$5:$F$204),0)</f>
        <v/>
      </c>
      <c r="P69" s="6">
        <f>IF(OR(B69&lt;QUARTILE($B$5:$B$204,1)-1.5*(QUARTILE($B$5:$B$204,3)-QUARTILE($B$5:$B$204,1)),B69&gt;QUARTILE($B$5:$B$204,3)+1.5*(QUARTILE($B$5:$B$204,3)-QUARTILE($B$5:$B$204,1))),"Review","Within range")</f>
        <v/>
      </c>
      <c r="Q69" s="6">
        <f>IF(OR(C69&lt;QUARTILE($C$5:$C$204,1)-1.5*(QUARTILE($C$5:$C$204,3)-QUARTILE($C$5:$C$204,1)),C69&gt;QUARTILE($C$5:$C$204,3)+1.5*(QUARTILE($C$5:$C$204,3)-QUARTILE($C$5:$C$204,1))),"Review","Within range")</f>
        <v/>
      </c>
      <c r="R69" s="6">
        <f>IF(OR(D69&lt;QUARTILE($D$5:$D$204,1)-1.5*(QUARTILE($D$5:$D$204,3)-QUARTILE($D$5:$D$204,1)),D69&gt;QUARTILE($D$5:$D$204,3)+1.5*(QUARTILE($D$5:$D$204,3)-QUARTILE($D$5:$D$204,1))),"Review","Within range")</f>
        <v/>
      </c>
      <c r="S69" s="6">
        <f>IF(OR(E69&lt;QUARTILE($E$5:$E$204,1)-1.5*(QUARTILE($E$5:$E$204,3)-QUARTILE($E$5:$E$204,1)),E69&gt;QUARTILE($E$5:$E$204,3)+1.5*(QUARTILE($E$5:$E$204,3)-QUARTILE($E$5:$E$204,1))),"Review","Within range")</f>
        <v/>
      </c>
      <c r="T69" s="6">
        <f>IF(COUNTBLANK(A69:E69)&gt;0,"Missing value",IF(COUNTIF(B69:E69,"&lt;0")&gt;0,"Negative value",IF(COUNTIF($A$5:$A$204,A69)&gt;1,"Duplicate market ID",IF(OR(P69="Review",Q69="Review",R69="Review",S69="Review"),"Review outlier","OK"))))</f>
        <v/>
      </c>
    </row>
    <row r="70">
      <c r="A70" s="6">
        <f>Raw_Data!A70</f>
        <v/>
      </c>
      <c r="B70" s="7">
        <f>Raw_Data!B70</f>
        <v/>
      </c>
      <c r="C70" s="7">
        <f>Raw_Data!C70</f>
        <v/>
      </c>
      <c r="D70" s="7">
        <f>Raw_Data!D70</f>
        <v/>
      </c>
      <c r="E70" s="7">
        <f>Raw_Data!E70</f>
        <v/>
      </c>
      <c r="F70" s="7">
        <f>SUM(B70:D70)</f>
        <v/>
      </c>
      <c r="G70" s="8">
        <f>IFERROR(B70/F70,0)</f>
        <v/>
      </c>
      <c r="H70" s="8">
        <f>IFERROR(C70/F70,0)</f>
        <v/>
      </c>
      <c r="I70" s="8">
        <f>IFERROR(D70/F70,0)</f>
        <v/>
      </c>
      <c r="J70" s="9">
        <f>IFERROR(E70/F70,0)</f>
        <v/>
      </c>
      <c r="K70" s="9">
        <f>IFERROR((B70-AVERAGE($B$5:$B$204))/STDEV($B$5:$B$204),0)</f>
        <v/>
      </c>
      <c r="L70" s="9">
        <f>IFERROR((C70-AVERAGE($C$5:$C$204))/STDEV($C$5:$C$204),0)</f>
        <v/>
      </c>
      <c r="M70" s="9">
        <f>IFERROR((D70-AVERAGE($D$5:$D$204))/STDEV($D$5:$D$204),0)</f>
        <v/>
      </c>
      <c r="N70" s="9">
        <f>IFERROR((E70-AVERAGE($E$5:$E$204))/STDEV($E$5:$E$204),0)</f>
        <v/>
      </c>
      <c r="O70" s="9">
        <f>IFERROR((F70-AVERAGE($F$5:$F$204))/STDEV($F$5:$F$204),0)</f>
        <v/>
      </c>
      <c r="P70" s="6">
        <f>IF(OR(B70&lt;QUARTILE($B$5:$B$204,1)-1.5*(QUARTILE($B$5:$B$204,3)-QUARTILE($B$5:$B$204,1)),B70&gt;QUARTILE($B$5:$B$204,3)+1.5*(QUARTILE($B$5:$B$204,3)-QUARTILE($B$5:$B$204,1))),"Review","Within range")</f>
        <v/>
      </c>
      <c r="Q70" s="6">
        <f>IF(OR(C70&lt;QUARTILE($C$5:$C$204,1)-1.5*(QUARTILE($C$5:$C$204,3)-QUARTILE($C$5:$C$204,1)),C70&gt;QUARTILE($C$5:$C$204,3)+1.5*(QUARTILE($C$5:$C$204,3)-QUARTILE($C$5:$C$204,1))),"Review","Within range")</f>
        <v/>
      </c>
      <c r="R70" s="6">
        <f>IF(OR(D70&lt;QUARTILE($D$5:$D$204,1)-1.5*(QUARTILE($D$5:$D$204,3)-QUARTILE($D$5:$D$204,1)),D70&gt;QUARTILE($D$5:$D$204,3)+1.5*(QUARTILE($D$5:$D$204,3)-QUARTILE($D$5:$D$204,1))),"Review","Within range")</f>
        <v/>
      </c>
      <c r="S70" s="6">
        <f>IF(OR(E70&lt;QUARTILE($E$5:$E$204,1)-1.5*(QUARTILE($E$5:$E$204,3)-QUARTILE($E$5:$E$204,1)),E70&gt;QUARTILE($E$5:$E$204,3)+1.5*(QUARTILE($E$5:$E$204,3)-QUARTILE($E$5:$E$204,1))),"Review","Within range")</f>
        <v/>
      </c>
      <c r="T70" s="6">
        <f>IF(COUNTBLANK(A70:E70)&gt;0,"Missing value",IF(COUNTIF(B70:E70,"&lt;0")&gt;0,"Negative value",IF(COUNTIF($A$5:$A$204,A70)&gt;1,"Duplicate market ID",IF(OR(P70="Review",Q70="Review",R70="Review",S70="Review"),"Review outlier","OK"))))</f>
        <v/>
      </c>
    </row>
    <row r="71">
      <c r="A71" s="6">
        <f>Raw_Data!A71</f>
        <v/>
      </c>
      <c r="B71" s="7">
        <f>Raw_Data!B71</f>
        <v/>
      </c>
      <c r="C71" s="7">
        <f>Raw_Data!C71</f>
        <v/>
      </c>
      <c r="D71" s="7">
        <f>Raw_Data!D71</f>
        <v/>
      </c>
      <c r="E71" s="7">
        <f>Raw_Data!E71</f>
        <v/>
      </c>
      <c r="F71" s="7">
        <f>SUM(B71:D71)</f>
        <v/>
      </c>
      <c r="G71" s="8">
        <f>IFERROR(B71/F71,0)</f>
        <v/>
      </c>
      <c r="H71" s="8">
        <f>IFERROR(C71/F71,0)</f>
        <v/>
      </c>
      <c r="I71" s="8">
        <f>IFERROR(D71/F71,0)</f>
        <v/>
      </c>
      <c r="J71" s="9">
        <f>IFERROR(E71/F71,0)</f>
        <v/>
      </c>
      <c r="K71" s="9">
        <f>IFERROR((B71-AVERAGE($B$5:$B$204))/STDEV($B$5:$B$204),0)</f>
        <v/>
      </c>
      <c r="L71" s="9">
        <f>IFERROR((C71-AVERAGE($C$5:$C$204))/STDEV($C$5:$C$204),0)</f>
        <v/>
      </c>
      <c r="M71" s="9">
        <f>IFERROR((D71-AVERAGE($D$5:$D$204))/STDEV($D$5:$D$204),0)</f>
        <v/>
      </c>
      <c r="N71" s="9">
        <f>IFERROR((E71-AVERAGE($E$5:$E$204))/STDEV($E$5:$E$204),0)</f>
        <v/>
      </c>
      <c r="O71" s="9">
        <f>IFERROR((F71-AVERAGE($F$5:$F$204))/STDEV($F$5:$F$204),0)</f>
        <v/>
      </c>
      <c r="P71" s="6">
        <f>IF(OR(B71&lt;QUARTILE($B$5:$B$204,1)-1.5*(QUARTILE($B$5:$B$204,3)-QUARTILE($B$5:$B$204,1)),B71&gt;QUARTILE($B$5:$B$204,3)+1.5*(QUARTILE($B$5:$B$204,3)-QUARTILE($B$5:$B$204,1))),"Review","Within range")</f>
        <v/>
      </c>
      <c r="Q71" s="6">
        <f>IF(OR(C71&lt;QUARTILE($C$5:$C$204,1)-1.5*(QUARTILE($C$5:$C$204,3)-QUARTILE($C$5:$C$204,1)),C71&gt;QUARTILE($C$5:$C$204,3)+1.5*(QUARTILE($C$5:$C$204,3)-QUARTILE($C$5:$C$204,1))),"Review","Within range")</f>
        <v/>
      </c>
      <c r="R71" s="6">
        <f>IF(OR(D71&lt;QUARTILE($D$5:$D$204,1)-1.5*(QUARTILE($D$5:$D$204,3)-QUARTILE($D$5:$D$204,1)),D71&gt;QUARTILE($D$5:$D$204,3)+1.5*(QUARTILE($D$5:$D$204,3)-QUARTILE($D$5:$D$204,1))),"Review","Within range")</f>
        <v/>
      </c>
      <c r="S71" s="6">
        <f>IF(OR(E71&lt;QUARTILE($E$5:$E$204,1)-1.5*(QUARTILE($E$5:$E$204,3)-QUARTILE($E$5:$E$204,1)),E71&gt;QUARTILE($E$5:$E$204,3)+1.5*(QUARTILE($E$5:$E$204,3)-QUARTILE($E$5:$E$204,1))),"Review","Within range")</f>
        <v/>
      </c>
      <c r="T71" s="6">
        <f>IF(COUNTBLANK(A71:E71)&gt;0,"Missing value",IF(COUNTIF(B71:E71,"&lt;0")&gt;0,"Negative value",IF(COUNTIF($A$5:$A$204,A71)&gt;1,"Duplicate market ID",IF(OR(P71="Review",Q71="Review",R71="Review",S71="Review"),"Review outlier","OK"))))</f>
        <v/>
      </c>
    </row>
    <row r="72">
      <c r="A72" s="6">
        <f>Raw_Data!A72</f>
        <v/>
      </c>
      <c r="B72" s="7">
        <f>Raw_Data!B72</f>
        <v/>
      </c>
      <c r="C72" s="7">
        <f>Raw_Data!C72</f>
        <v/>
      </c>
      <c r="D72" s="7">
        <f>Raw_Data!D72</f>
        <v/>
      </c>
      <c r="E72" s="7">
        <f>Raw_Data!E72</f>
        <v/>
      </c>
      <c r="F72" s="7">
        <f>SUM(B72:D72)</f>
        <v/>
      </c>
      <c r="G72" s="8">
        <f>IFERROR(B72/F72,0)</f>
        <v/>
      </c>
      <c r="H72" s="8">
        <f>IFERROR(C72/F72,0)</f>
        <v/>
      </c>
      <c r="I72" s="8">
        <f>IFERROR(D72/F72,0)</f>
        <v/>
      </c>
      <c r="J72" s="9">
        <f>IFERROR(E72/F72,0)</f>
        <v/>
      </c>
      <c r="K72" s="9">
        <f>IFERROR((B72-AVERAGE($B$5:$B$204))/STDEV($B$5:$B$204),0)</f>
        <v/>
      </c>
      <c r="L72" s="9">
        <f>IFERROR((C72-AVERAGE($C$5:$C$204))/STDEV($C$5:$C$204),0)</f>
        <v/>
      </c>
      <c r="M72" s="9">
        <f>IFERROR((D72-AVERAGE($D$5:$D$204))/STDEV($D$5:$D$204),0)</f>
        <v/>
      </c>
      <c r="N72" s="9">
        <f>IFERROR((E72-AVERAGE($E$5:$E$204))/STDEV($E$5:$E$204),0)</f>
        <v/>
      </c>
      <c r="O72" s="9">
        <f>IFERROR((F72-AVERAGE($F$5:$F$204))/STDEV($F$5:$F$204),0)</f>
        <v/>
      </c>
      <c r="P72" s="6">
        <f>IF(OR(B72&lt;QUARTILE($B$5:$B$204,1)-1.5*(QUARTILE($B$5:$B$204,3)-QUARTILE($B$5:$B$204,1)),B72&gt;QUARTILE($B$5:$B$204,3)+1.5*(QUARTILE($B$5:$B$204,3)-QUARTILE($B$5:$B$204,1))),"Review","Within range")</f>
        <v/>
      </c>
      <c r="Q72" s="6">
        <f>IF(OR(C72&lt;QUARTILE($C$5:$C$204,1)-1.5*(QUARTILE($C$5:$C$204,3)-QUARTILE($C$5:$C$204,1)),C72&gt;QUARTILE($C$5:$C$204,3)+1.5*(QUARTILE($C$5:$C$204,3)-QUARTILE($C$5:$C$204,1))),"Review","Within range")</f>
        <v/>
      </c>
      <c r="R72" s="6">
        <f>IF(OR(D72&lt;QUARTILE($D$5:$D$204,1)-1.5*(QUARTILE($D$5:$D$204,3)-QUARTILE($D$5:$D$204,1)),D72&gt;QUARTILE($D$5:$D$204,3)+1.5*(QUARTILE($D$5:$D$204,3)-QUARTILE($D$5:$D$204,1))),"Review","Within range")</f>
        <v/>
      </c>
      <c r="S72" s="6">
        <f>IF(OR(E72&lt;QUARTILE($E$5:$E$204,1)-1.5*(QUARTILE($E$5:$E$204,3)-QUARTILE($E$5:$E$204,1)),E72&gt;QUARTILE($E$5:$E$204,3)+1.5*(QUARTILE($E$5:$E$204,3)-QUARTILE($E$5:$E$204,1))),"Review","Within range")</f>
        <v/>
      </c>
      <c r="T72" s="6">
        <f>IF(COUNTBLANK(A72:E72)&gt;0,"Missing value",IF(COUNTIF(B72:E72,"&lt;0")&gt;0,"Negative value",IF(COUNTIF($A$5:$A$204,A72)&gt;1,"Duplicate market ID",IF(OR(P72="Review",Q72="Review",R72="Review",S72="Review"),"Review outlier","OK"))))</f>
        <v/>
      </c>
    </row>
    <row r="73">
      <c r="A73" s="6">
        <f>Raw_Data!A73</f>
        <v/>
      </c>
      <c r="B73" s="7">
        <f>Raw_Data!B73</f>
        <v/>
      </c>
      <c r="C73" s="7">
        <f>Raw_Data!C73</f>
        <v/>
      </c>
      <c r="D73" s="7">
        <f>Raw_Data!D73</f>
        <v/>
      </c>
      <c r="E73" s="7">
        <f>Raw_Data!E73</f>
        <v/>
      </c>
      <c r="F73" s="7">
        <f>SUM(B73:D73)</f>
        <v/>
      </c>
      <c r="G73" s="8">
        <f>IFERROR(B73/F73,0)</f>
        <v/>
      </c>
      <c r="H73" s="8">
        <f>IFERROR(C73/F73,0)</f>
        <v/>
      </c>
      <c r="I73" s="8">
        <f>IFERROR(D73/F73,0)</f>
        <v/>
      </c>
      <c r="J73" s="9">
        <f>IFERROR(E73/F73,0)</f>
        <v/>
      </c>
      <c r="K73" s="9">
        <f>IFERROR((B73-AVERAGE($B$5:$B$204))/STDEV($B$5:$B$204),0)</f>
        <v/>
      </c>
      <c r="L73" s="9">
        <f>IFERROR((C73-AVERAGE($C$5:$C$204))/STDEV($C$5:$C$204),0)</f>
        <v/>
      </c>
      <c r="M73" s="9">
        <f>IFERROR((D73-AVERAGE($D$5:$D$204))/STDEV($D$5:$D$204),0)</f>
        <v/>
      </c>
      <c r="N73" s="9">
        <f>IFERROR((E73-AVERAGE($E$5:$E$204))/STDEV($E$5:$E$204),0)</f>
        <v/>
      </c>
      <c r="O73" s="9">
        <f>IFERROR((F73-AVERAGE($F$5:$F$204))/STDEV($F$5:$F$204),0)</f>
        <v/>
      </c>
      <c r="P73" s="6">
        <f>IF(OR(B73&lt;QUARTILE($B$5:$B$204,1)-1.5*(QUARTILE($B$5:$B$204,3)-QUARTILE($B$5:$B$204,1)),B73&gt;QUARTILE($B$5:$B$204,3)+1.5*(QUARTILE($B$5:$B$204,3)-QUARTILE($B$5:$B$204,1))),"Review","Within range")</f>
        <v/>
      </c>
      <c r="Q73" s="6">
        <f>IF(OR(C73&lt;QUARTILE($C$5:$C$204,1)-1.5*(QUARTILE($C$5:$C$204,3)-QUARTILE($C$5:$C$204,1)),C73&gt;QUARTILE($C$5:$C$204,3)+1.5*(QUARTILE($C$5:$C$204,3)-QUARTILE($C$5:$C$204,1))),"Review","Within range")</f>
        <v/>
      </c>
      <c r="R73" s="6">
        <f>IF(OR(D73&lt;QUARTILE($D$5:$D$204,1)-1.5*(QUARTILE($D$5:$D$204,3)-QUARTILE($D$5:$D$204,1)),D73&gt;QUARTILE($D$5:$D$204,3)+1.5*(QUARTILE($D$5:$D$204,3)-QUARTILE($D$5:$D$204,1))),"Review","Within range")</f>
        <v/>
      </c>
      <c r="S73" s="6">
        <f>IF(OR(E73&lt;QUARTILE($E$5:$E$204,1)-1.5*(QUARTILE($E$5:$E$204,3)-QUARTILE($E$5:$E$204,1)),E73&gt;QUARTILE($E$5:$E$204,3)+1.5*(QUARTILE($E$5:$E$204,3)-QUARTILE($E$5:$E$204,1))),"Review","Within range")</f>
        <v/>
      </c>
      <c r="T73" s="6">
        <f>IF(COUNTBLANK(A73:E73)&gt;0,"Missing value",IF(COUNTIF(B73:E73,"&lt;0")&gt;0,"Negative value",IF(COUNTIF($A$5:$A$204,A73)&gt;1,"Duplicate market ID",IF(OR(P73="Review",Q73="Review",R73="Review",S73="Review"),"Review outlier","OK"))))</f>
        <v/>
      </c>
    </row>
    <row r="74">
      <c r="A74" s="6">
        <f>Raw_Data!A74</f>
        <v/>
      </c>
      <c r="B74" s="7">
        <f>Raw_Data!B74</f>
        <v/>
      </c>
      <c r="C74" s="7">
        <f>Raw_Data!C74</f>
        <v/>
      </c>
      <c r="D74" s="7">
        <f>Raw_Data!D74</f>
        <v/>
      </c>
      <c r="E74" s="7">
        <f>Raw_Data!E74</f>
        <v/>
      </c>
      <c r="F74" s="7">
        <f>SUM(B74:D74)</f>
        <v/>
      </c>
      <c r="G74" s="8">
        <f>IFERROR(B74/F74,0)</f>
        <v/>
      </c>
      <c r="H74" s="8">
        <f>IFERROR(C74/F74,0)</f>
        <v/>
      </c>
      <c r="I74" s="8">
        <f>IFERROR(D74/F74,0)</f>
        <v/>
      </c>
      <c r="J74" s="9">
        <f>IFERROR(E74/F74,0)</f>
        <v/>
      </c>
      <c r="K74" s="9">
        <f>IFERROR((B74-AVERAGE($B$5:$B$204))/STDEV($B$5:$B$204),0)</f>
        <v/>
      </c>
      <c r="L74" s="9">
        <f>IFERROR((C74-AVERAGE($C$5:$C$204))/STDEV($C$5:$C$204),0)</f>
        <v/>
      </c>
      <c r="M74" s="9">
        <f>IFERROR((D74-AVERAGE($D$5:$D$204))/STDEV($D$5:$D$204),0)</f>
        <v/>
      </c>
      <c r="N74" s="9">
        <f>IFERROR((E74-AVERAGE($E$5:$E$204))/STDEV($E$5:$E$204),0)</f>
        <v/>
      </c>
      <c r="O74" s="9">
        <f>IFERROR((F74-AVERAGE($F$5:$F$204))/STDEV($F$5:$F$204),0)</f>
        <v/>
      </c>
      <c r="P74" s="6">
        <f>IF(OR(B74&lt;QUARTILE($B$5:$B$204,1)-1.5*(QUARTILE($B$5:$B$204,3)-QUARTILE($B$5:$B$204,1)),B74&gt;QUARTILE($B$5:$B$204,3)+1.5*(QUARTILE($B$5:$B$204,3)-QUARTILE($B$5:$B$204,1))),"Review","Within range")</f>
        <v/>
      </c>
      <c r="Q74" s="6">
        <f>IF(OR(C74&lt;QUARTILE($C$5:$C$204,1)-1.5*(QUARTILE($C$5:$C$204,3)-QUARTILE($C$5:$C$204,1)),C74&gt;QUARTILE($C$5:$C$204,3)+1.5*(QUARTILE($C$5:$C$204,3)-QUARTILE($C$5:$C$204,1))),"Review","Within range")</f>
        <v/>
      </c>
      <c r="R74" s="6">
        <f>IF(OR(D74&lt;QUARTILE($D$5:$D$204,1)-1.5*(QUARTILE($D$5:$D$204,3)-QUARTILE($D$5:$D$204,1)),D74&gt;QUARTILE($D$5:$D$204,3)+1.5*(QUARTILE($D$5:$D$204,3)-QUARTILE($D$5:$D$204,1))),"Review","Within range")</f>
        <v/>
      </c>
      <c r="S74" s="6">
        <f>IF(OR(E74&lt;QUARTILE($E$5:$E$204,1)-1.5*(QUARTILE($E$5:$E$204,3)-QUARTILE($E$5:$E$204,1)),E74&gt;QUARTILE($E$5:$E$204,3)+1.5*(QUARTILE($E$5:$E$204,3)-QUARTILE($E$5:$E$204,1))),"Review","Within range")</f>
        <v/>
      </c>
      <c r="T74" s="6">
        <f>IF(COUNTBLANK(A74:E74)&gt;0,"Missing value",IF(COUNTIF(B74:E74,"&lt;0")&gt;0,"Negative value",IF(COUNTIF($A$5:$A$204,A74)&gt;1,"Duplicate market ID",IF(OR(P74="Review",Q74="Review",R74="Review",S74="Review"),"Review outlier","OK"))))</f>
        <v/>
      </c>
    </row>
    <row r="75">
      <c r="A75" s="6">
        <f>Raw_Data!A75</f>
        <v/>
      </c>
      <c r="B75" s="7">
        <f>Raw_Data!B75</f>
        <v/>
      </c>
      <c r="C75" s="7">
        <f>Raw_Data!C75</f>
        <v/>
      </c>
      <c r="D75" s="7">
        <f>Raw_Data!D75</f>
        <v/>
      </c>
      <c r="E75" s="7">
        <f>Raw_Data!E75</f>
        <v/>
      </c>
      <c r="F75" s="7">
        <f>SUM(B75:D75)</f>
        <v/>
      </c>
      <c r="G75" s="8">
        <f>IFERROR(B75/F75,0)</f>
        <v/>
      </c>
      <c r="H75" s="8">
        <f>IFERROR(C75/F75,0)</f>
        <v/>
      </c>
      <c r="I75" s="8">
        <f>IFERROR(D75/F75,0)</f>
        <v/>
      </c>
      <c r="J75" s="9">
        <f>IFERROR(E75/F75,0)</f>
        <v/>
      </c>
      <c r="K75" s="9">
        <f>IFERROR((B75-AVERAGE($B$5:$B$204))/STDEV($B$5:$B$204),0)</f>
        <v/>
      </c>
      <c r="L75" s="9">
        <f>IFERROR((C75-AVERAGE($C$5:$C$204))/STDEV($C$5:$C$204),0)</f>
        <v/>
      </c>
      <c r="M75" s="9">
        <f>IFERROR((D75-AVERAGE($D$5:$D$204))/STDEV($D$5:$D$204),0)</f>
        <v/>
      </c>
      <c r="N75" s="9">
        <f>IFERROR((E75-AVERAGE($E$5:$E$204))/STDEV($E$5:$E$204),0)</f>
        <v/>
      </c>
      <c r="O75" s="9">
        <f>IFERROR((F75-AVERAGE($F$5:$F$204))/STDEV($F$5:$F$204),0)</f>
        <v/>
      </c>
      <c r="P75" s="6">
        <f>IF(OR(B75&lt;QUARTILE($B$5:$B$204,1)-1.5*(QUARTILE($B$5:$B$204,3)-QUARTILE($B$5:$B$204,1)),B75&gt;QUARTILE($B$5:$B$204,3)+1.5*(QUARTILE($B$5:$B$204,3)-QUARTILE($B$5:$B$204,1))),"Review","Within range")</f>
        <v/>
      </c>
      <c r="Q75" s="6">
        <f>IF(OR(C75&lt;QUARTILE($C$5:$C$204,1)-1.5*(QUARTILE($C$5:$C$204,3)-QUARTILE($C$5:$C$204,1)),C75&gt;QUARTILE($C$5:$C$204,3)+1.5*(QUARTILE($C$5:$C$204,3)-QUARTILE($C$5:$C$204,1))),"Review","Within range")</f>
        <v/>
      </c>
      <c r="R75" s="6">
        <f>IF(OR(D75&lt;QUARTILE($D$5:$D$204,1)-1.5*(QUARTILE($D$5:$D$204,3)-QUARTILE($D$5:$D$204,1)),D75&gt;QUARTILE($D$5:$D$204,3)+1.5*(QUARTILE($D$5:$D$204,3)-QUARTILE($D$5:$D$204,1))),"Review","Within range")</f>
        <v/>
      </c>
      <c r="S75" s="6">
        <f>IF(OR(E75&lt;QUARTILE($E$5:$E$204,1)-1.5*(QUARTILE($E$5:$E$204,3)-QUARTILE($E$5:$E$204,1)),E75&gt;QUARTILE($E$5:$E$204,3)+1.5*(QUARTILE($E$5:$E$204,3)-QUARTILE($E$5:$E$204,1))),"Review","Within range")</f>
        <v/>
      </c>
      <c r="T75" s="6">
        <f>IF(COUNTBLANK(A75:E75)&gt;0,"Missing value",IF(COUNTIF(B75:E75,"&lt;0")&gt;0,"Negative value",IF(COUNTIF($A$5:$A$204,A75)&gt;1,"Duplicate market ID",IF(OR(P75="Review",Q75="Review",R75="Review",S75="Review"),"Review outlier","OK"))))</f>
        <v/>
      </c>
    </row>
    <row r="76">
      <c r="A76" s="6">
        <f>Raw_Data!A76</f>
        <v/>
      </c>
      <c r="B76" s="7">
        <f>Raw_Data!B76</f>
        <v/>
      </c>
      <c r="C76" s="7">
        <f>Raw_Data!C76</f>
        <v/>
      </c>
      <c r="D76" s="7">
        <f>Raw_Data!D76</f>
        <v/>
      </c>
      <c r="E76" s="7">
        <f>Raw_Data!E76</f>
        <v/>
      </c>
      <c r="F76" s="7">
        <f>SUM(B76:D76)</f>
        <v/>
      </c>
      <c r="G76" s="8">
        <f>IFERROR(B76/F76,0)</f>
        <v/>
      </c>
      <c r="H76" s="8">
        <f>IFERROR(C76/F76,0)</f>
        <v/>
      </c>
      <c r="I76" s="8">
        <f>IFERROR(D76/F76,0)</f>
        <v/>
      </c>
      <c r="J76" s="9">
        <f>IFERROR(E76/F76,0)</f>
        <v/>
      </c>
      <c r="K76" s="9">
        <f>IFERROR((B76-AVERAGE($B$5:$B$204))/STDEV($B$5:$B$204),0)</f>
        <v/>
      </c>
      <c r="L76" s="9">
        <f>IFERROR((C76-AVERAGE($C$5:$C$204))/STDEV($C$5:$C$204),0)</f>
        <v/>
      </c>
      <c r="M76" s="9">
        <f>IFERROR((D76-AVERAGE($D$5:$D$204))/STDEV($D$5:$D$204),0)</f>
        <v/>
      </c>
      <c r="N76" s="9">
        <f>IFERROR((E76-AVERAGE($E$5:$E$204))/STDEV($E$5:$E$204),0)</f>
        <v/>
      </c>
      <c r="O76" s="9">
        <f>IFERROR((F76-AVERAGE($F$5:$F$204))/STDEV($F$5:$F$204),0)</f>
        <v/>
      </c>
      <c r="P76" s="6">
        <f>IF(OR(B76&lt;QUARTILE($B$5:$B$204,1)-1.5*(QUARTILE($B$5:$B$204,3)-QUARTILE($B$5:$B$204,1)),B76&gt;QUARTILE($B$5:$B$204,3)+1.5*(QUARTILE($B$5:$B$204,3)-QUARTILE($B$5:$B$204,1))),"Review","Within range")</f>
        <v/>
      </c>
      <c r="Q76" s="6">
        <f>IF(OR(C76&lt;QUARTILE($C$5:$C$204,1)-1.5*(QUARTILE($C$5:$C$204,3)-QUARTILE($C$5:$C$204,1)),C76&gt;QUARTILE($C$5:$C$204,3)+1.5*(QUARTILE($C$5:$C$204,3)-QUARTILE($C$5:$C$204,1))),"Review","Within range")</f>
        <v/>
      </c>
      <c r="R76" s="6">
        <f>IF(OR(D76&lt;QUARTILE($D$5:$D$204,1)-1.5*(QUARTILE($D$5:$D$204,3)-QUARTILE($D$5:$D$204,1)),D76&gt;QUARTILE($D$5:$D$204,3)+1.5*(QUARTILE($D$5:$D$204,3)-QUARTILE($D$5:$D$204,1))),"Review","Within range")</f>
        <v/>
      </c>
      <c r="S76" s="6">
        <f>IF(OR(E76&lt;QUARTILE($E$5:$E$204,1)-1.5*(QUARTILE($E$5:$E$204,3)-QUARTILE($E$5:$E$204,1)),E76&gt;QUARTILE($E$5:$E$204,3)+1.5*(QUARTILE($E$5:$E$204,3)-QUARTILE($E$5:$E$204,1))),"Review","Within range")</f>
        <v/>
      </c>
      <c r="T76" s="6">
        <f>IF(COUNTBLANK(A76:E76)&gt;0,"Missing value",IF(COUNTIF(B76:E76,"&lt;0")&gt;0,"Negative value",IF(COUNTIF($A$5:$A$204,A76)&gt;1,"Duplicate market ID",IF(OR(P76="Review",Q76="Review",R76="Review",S76="Review"),"Review outlier","OK"))))</f>
        <v/>
      </c>
    </row>
    <row r="77">
      <c r="A77" s="6">
        <f>Raw_Data!A77</f>
        <v/>
      </c>
      <c r="B77" s="7">
        <f>Raw_Data!B77</f>
        <v/>
      </c>
      <c r="C77" s="7">
        <f>Raw_Data!C77</f>
        <v/>
      </c>
      <c r="D77" s="7">
        <f>Raw_Data!D77</f>
        <v/>
      </c>
      <c r="E77" s="7">
        <f>Raw_Data!E77</f>
        <v/>
      </c>
      <c r="F77" s="7">
        <f>SUM(B77:D77)</f>
        <v/>
      </c>
      <c r="G77" s="8">
        <f>IFERROR(B77/F77,0)</f>
        <v/>
      </c>
      <c r="H77" s="8">
        <f>IFERROR(C77/F77,0)</f>
        <v/>
      </c>
      <c r="I77" s="8">
        <f>IFERROR(D77/F77,0)</f>
        <v/>
      </c>
      <c r="J77" s="9">
        <f>IFERROR(E77/F77,0)</f>
        <v/>
      </c>
      <c r="K77" s="9">
        <f>IFERROR((B77-AVERAGE($B$5:$B$204))/STDEV($B$5:$B$204),0)</f>
        <v/>
      </c>
      <c r="L77" s="9">
        <f>IFERROR((C77-AVERAGE($C$5:$C$204))/STDEV($C$5:$C$204),0)</f>
        <v/>
      </c>
      <c r="M77" s="9">
        <f>IFERROR((D77-AVERAGE($D$5:$D$204))/STDEV($D$5:$D$204),0)</f>
        <v/>
      </c>
      <c r="N77" s="9">
        <f>IFERROR((E77-AVERAGE($E$5:$E$204))/STDEV($E$5:$E$204),0)</f>
        <v/>
      </c>
      <c r="O77" s="9">
        <f>IFERROR((F77-AVERAGE($F$5:$F$204))/STDEV($F$5:$F$204),0)</f>
        <v/>
      </c>
      <c r="P77" s="6">
        <f>IF(OR(B77&lt;QUARTILE($B$5:$B$204,1)-1.5*(QUARTILE($B$5:$B$204,3)-QUARTILE($B$5:$B$204,1)),B77&gt;QUARTILE($B$5:$B$204,3)+1.5*(QUARTILE($B$5:$B$204,3)-QUARTILE($B$5:$B$204,1))),"Review","Within range")</f>
        <v/>
      </c>
      <c r="Q77" s="6">
        <f>IF(OR(C77&lt;QUARTILE($C$5:$C$204,1)-1.5*(QUARTILE($C$5:$C$204,3)-QUARTILE($C$5:$C$204,1)),C77&gt;QUARTILE($C$5:$C$204,3)+1.5*(QUARTILE($C$5:$C$204,3)-QUARTILE($C$5:$C$204,1))),"Review","Within range")</f>
        <v/>
      </c>
      <c r="R77" s="6">
        <f>IF(OR(D77&lt;QUARTILE($D$5:$D$204,1)-1.5*(QUARTILE($D$5:$D$204,3)-QUARTILE($D$5:$D$204,1)),D77&gt;QUARTILE($D$5:$D$204,3)+1.5*(QUARTILE($D$5:$D$204,3)-QUARTILE($D$5:$D$204,1))),"Review","Within range")</f>
        <v/>
      </c>
      <c r="S77" s="6">
        <f>IF(OR(E77&lt;QUARTILE($E$5:$E$204,1)-1.5*(QUARTILE($E$5:$E$204,3)-QUARTILE($E$5:$E$204,1)),E77&gt;QUARTILE($E$5:$E$204,3)+1.5*(QUARTILE($E$5:$E$204,3)-QUARTILE($E$5:$E$204,1))),"Review","Within range")</f>
        <v/>
      </c>
      <c r="T77" s="6">
        <f>IF(COUNTBLANK(A77:E77)&gt;0,"Missing value",IF(COUNTIF(B77:E77,"&lt;0")&gt;0,"Negative value",IF(COUNTIF($A$5:$A$204,A77)&gt;1,"Duplicate market ID",IF(OR(P77="Review",Q77="Review",R77="Review",S77="Review"),"Review outlier","OK"))))</f>
        <v/>
      </c>
    </row>
    <row r="78">
      <c r="A78" s="6">
        <f>Raw_Data!A78</f>
        <v/>
      </c>
      <c r="B78" s="7">
        <f>Raw_Data!B78</f>
        <v/>
      </c>
      <c r="C78" s="7">
        <f>Raw_Data!C78</f>
        <v/>
      </c>
      <c r="D78" s="7">
        <f>Raw_Data!D78</f>
        <v/>
      </c>
      <c r="E78" s="7">
        <f>Raw_Data!E78</f>
        <v/>
      </c>
      <c r="F78" s="7">
        <f>SUM(B78:D78)</f>
        <v/>
      </c>
      <c r="G78" s="8">
        <f>IFERROR(B78/F78,0)</f>
        <v/>
      </c>
      <c r="H78" s="8">
        <f>IFERROR(C78/F78,0)</f>
        <v/>
      </c>
      <c r="I78" s="8">
        <f>IFERROR(D78/F78,0)</f>
        <v/>
      </c>
      <c r="J78" s="9">
        <f>IFERROR(E78/F78,0)</f>
        <v/>
      </c>
      <c r="K78" s="9">
        <f>IFERROR((B78-AVERAGE($B$5:$B$204))/STDEV($B$5:$B$204),0)</f>
        <v/>
      </c>
      <c r="L78" s="9">
        <f>IFERROR((C78-AVERAGE($C$5:$C$204))/STDEV($C$5:$C$204),0)</f>
        <v/>
      </c>
      <c r="M78" s="9">
        <f>IFERROR((D78-AVERAGE($D$5:$D$204))/STDEV($D$5:$D$204),0)</f>
        <v/>
      </c>
      <c r="N78" s="9">
        <f>IFERROR((E78-AVERAGE($E$5:$E$204))/STDEV($E$5:$E$204),0)</f>
        <v/>
      </c>
      <c r="O78" s="9">
        <f>IFERROR((F78-AVERAGE($F$5:$F$204))/STDEV($F$5:$F$204),0)</f>
        <v/>
      </c>
      <c r="P78" s="6">
        <f>IF(OR(B78&lt;QUARTILE($B$5:$B$204,1)-1.5*(QUARTILE($B$5:$B$204,3)-QUARTILE($B$5:$B$204,1)),B78&gt;QUARTILE($B$5:$B$204,3)+1.5*(QUARTILE($B$5:$B$204,3)-QUARTILE($B$5:$B$204,1))),"Review","Within range")</f>
        <v/>
      </c>
      <c r="Q78" s="6">
        <f>IF(OR(C78&lt;QUARTILE($C$5:$C$204,1)-1.5*(QUARTILE($C$5:$C$204,3)-QUARTILE($C$5:$C$204,1)),C78&gt;QUARTILE($C$5:$C$204,3)+1.5*(QUARTILE($C$5:$C$204,3)-QUARTILE($C$5:$C$204,1))),"Review","Within range")</f>
        <v/>
      </c>
      <c r="R78" s="6">
        <f>IF(OR(D78&lt;QUARTILE($D$5:$D$204,1)-1.5*(QUARTILE($D$5:$D$204,3)-QUARTILE($D$5:$D$204,1)),D78&gt;QUARTILE($D$5:$D$204,3)+1.5*(QUARTILE($D$5:$D$204,3)-QUARTILE($D$5:$D$204,1))),"Review","Within range")</f>
        <v/>
      </c>
      <c r="S78" s="6">
        <f>IF(OR(E78&lt;QUARTILE($E$5:$E$204,1)-1.5*(QUARTILE($E$5:$E$204,3)-QUARTILE($E$5:$E$204,1)),E78&gt;QUARTILE($E$5:$E$204,3)+1.5*(QUARTILE($E$5:$E$204,3)-QUARTILE($E$5:$E$204,1))),"Review","Within range")</f>
        <v/>
      </c>
      <c r="T78" s="6">
        <f>IF(COUNTBLANK(A78:E78)&gt;0,"Missing value",IF(COUNTIF(B78:E78,"&lt;0")&gt;0,"Negative value",IF(COUNTIF($A$5:$A$204,A78)&gt;1,"Duplicate market ID",IF(OR(P78="Review",Q78="Review",R78="Review",S78="Review"),"Review outlier","OK"))))</f>
        <v/>
      </c>
    </row>
    <row r="79">
      <c r="A79" s="6">
        <f>Raw_Data!A79</f>
        <v/>
      </c>
      <c r="B79" s="7">
        <f>Raw_Data!B79</f>
        <v/>
      </c>
      <c r="C79" s="7">
        <f>Raw_Data!C79</f>
        <v/>
      </c>
      <c r="D79" s="7">
        <f>Raw_Data!D79</f>
        <v/>
      </c>
      <c r="E79" s="7">
        <f>Raw_Data!E79</f>
        <v/>
      </c>
      <c r="F79" s="7">
        <f>SUM(B79:D79)</f>
        <v/>
      </c>
      <c r="G79" s="8">
        <f>IFERROR(B79/F79,0)</f>
        <v/>
      </c>
      <c r="H79" s="8">
        <f>IFERROR(C79/F79,0)</f>
        <v/>
      </c>
      <c r="I79" s="8">
        <f>IFERROR(D79/F79,0)</f>
        <v/>
      </c>
      <c r="J79" s="9">
        <f>IFERROR(E79/F79,0)</f>
        <v/>
      </c>
      <c r="K79" s="9">
        <f>IFERROR((B79-AVERAGE($B$5:$B$204))/STDEV($B$5:$B$204),0)</f>
        <v/>
      </c>
      <c r="L79" s="9">
        <f>IFERROR((C79-AVERAGE($C$5:$C$204))/STDEV($C$5:$C$204),0)</f>
        <v/>
      </c>
      <c r="M79" s="9">
        <f>IFERROR((D79-AVERAGE($D$5:$D$204))/STDEV($D$5:$D$204),0)</f>
        <v/>
      </c>
      <c r="N79" s="9">
        <f>IFERROR((E79-AVERAGE($E$5:$E$204))/STDEV($E$5:$E$204),0)</f>
        <v/>
      </c>
      <c r="O79" s="9">
        <f>IFERROR((F79-AVERAGE($F$5:$F$204))/STDEV($F$5:$F$204),0)</f>
        <v/>
      </c>
      <c r="P79" s="6">
        <f>IF(OR(B79&lt;QUARTILE($B$5:$B$204,1)-1.5*(QUARTILE($B$5:$B$204,3)-QUARTILE($B$5:$B$204,1)),B79&gt;QUARTILE($B$5:$B$204,3)+1.5*(QUARTILE($B$5:$B$204,3)-QUARTILE($B$5:$B$204,1))),"Review","Within range")</f>
        <v/>
      </c>
      <c r="Q79" s="6">
        <f>IF(OR(C79&lt;QUARTILE($C$5:$C$204,1)-1.5*(QUARTILE($C$5:$C$204,3)-QUARTILE($C$5:$C$204,1)),C79&gt;QUARTILE($C$5:$C$204,3)+1.5*(QUARTILE($C$5:$C$204,3)-QUARTILE($C$5:$C$204,1))),"Review","Within range")</f>
        <v/>
      </c>
      <c r="R79" s="6">
        <f>IF(OR(D79&lt;QUARTILE($D$5:$D$204,1)-1.5*(QUARTILE($D$5:$D$204,3)-QUARTILE($D$5:$D$204,1)),D79&gt;QUARTILE($D$5:$D$204,3)+1.5*(QUARTILE($D$5:$D$204,3)-QUARTILE($D$5:$D$204,1))),"Review","Within range")</f>
        <v/>
      </c>
      <c r="S79" s="6">
        <f>IF(OR(E79&lt;QUARTILE($E$5:$E$204,1)-1.5*(QUARTILE($E$5:$E$204,3)-QUARTILE($E$5:$E$204,1)),E79&gt;QUARTILE($E$5:$E$204,3)+1.5*(QUARTILE($E$5:$E$204,3)-QUARTILE($E$5:$E$204,1))),"Review","Within range")</f>
        <v/>
      </c>
      <c r="T79" s="6">
        <f>IF(COUNTBLANK(A79:E79)&gt;0,"Missing value",IF(COUNTIF(B79:E79,"&lt;0")&gt;0,"Negative value",IF(COUNTIF($A$5:$A$204,A79)&gt;1,"Duplicate market ID",IF(OR(P79="Review",Q79="Review",R79="Review",S79="Review"),"Review outlier","OK"))))</f>
        <v/>
      </c>
    </row>
    <row r="80">
      <c r="A80" s="6">
        <f>Raw_Data!A80</f>
        <v/>
      </c>
      <c r="B80" s="7">
        <f>Raw_Data!B80</f>
        <v/>
      </c>
      <c r="C80" s="7">
        <f>Raw_Data!C80</f>
        <v/>
      </c>
      <c r="D80" s="7">
        <f>Raw_Data!D80</f>
        <v/>
      </c>
      <c r="E80" s="7">
        <f>Raw_Data!E80</f>
        <v/>
      </c>
      <c r="F80" s="7">
        <f>SUM(B80:D80)</f>
        <v/>
      </c>
      <c r="G80" s="8">
        <f>IFERROR(B80/F80,0)</f>
        <v/>
      </c>
      <c r="H80" s="8">
        <f>IFERROR(C80/F80,0)</f>
        <v/>
      </c>
      <c r="I80" s="8">
        <f>IFERROR(D80/F80,0)</f>
        <v/>
      </c>
      <c r="J80" s="9">
        <f>IFERROR(E80/F80,0)</f>
        <v/>
      </c>
      <c r="K80" s="9">
        <f>IFERROR((B80-AVERAGE($B$5:$B$204))/STDEV($B$5:$B$204),0)</f>
        <v/>
      </c>
      <c r="L80" s="9">
        <f>IFERROR((C80-AVERAGE($C$5:$C$204))/STDEV($C$5:$C$204),0)</f>
        <v/>
      </c>
      <c r="M80" s="9">
        <f>IFERROR((D80-AVERAGE($D$5:$D$204))/STDEV($D$5:$D$204),0)</f>
        <v/>
      </c>
      <c r="N80" s="9">
        <f>IFERROR((E80-AVERAGE($E$5:$E$204))/STDEV($E$5:$E$204),0)</f>
        <v/>
      </c>
      <c r="O80" s="9">
        <f>IFERROR((F80-AVERAGE($F$5:$F$204))/STDEV($F$5:$F$204),0)</f>
        <v/>
      </c>
      <c r="P80" s="6">
        <f>IF(OR(B80&lt;QUARTILE($B$5:$B$204,1)-1.5*(QUARTILE($B$5:$B$204,3)-QUARTILE($B$5:$B$204,1)),B80&gt;QUARTILE($B$5:$B$204,3)+1.5*(QUARTILE($B$5:$B$204,3)-QUARTILE($B$5:$B$204,1))),"Review","Within range")</f>
        <v/>
      </c>
      <c r="Q80" s="6">
        <f>IF(OR(C80&lt;QUARTILE($C$5:$C$204,1)-1.5*(QUARTILE($C$5:$C$204,3)-QUARTILE($C$5:$C$204,1)),C80&gt;QUARTILE($C$5:$C$204,3)+1.5*(QUARTILE($C$5:$C$204,3)-QUARTILE($C$5:$C$204,1))),"Review","Within range")</f>
        <v/>
      </c>
      <c r="R80" s="6">
        <f>IF(OR(D80&lt;QUARTILE($D$5:$D$204,1)-1.5*(QUARTILE($D$5:$D$204,3)-QUARTILE($D$5:$D$204,1)),D80&gt;QUARTILE($D$5:$D$204,3)+1.5*(QUARTILE($D$5:$D$204,3)-QUARTILE($D$5:$D$204,1))),"Review","Within range")</f>
        <v/>
      </c>
      <c r="S80" s="6">
        <f>IF(OR(E80&lt;QUARTILE($E$5:$E$204,1)-1.5*(QUARTILE($E$5:$E$204,3)-QUARTILE($E$5:$E$204,1)),E80&gt;QUARTILE($E$5:$E$204,3)+1.5*(QUARTILE($E$5:$E$204,3)-QUARTILE($E$5:$E$204,1))),"Review","Within range")</f>
        <v/>
      </c>
      <c r="T80" s="6">
        <f>IF(COUNTBLANK(A80:E80)&gt;0,"Missing value",IF(COUNTIF(B80:E80,"&lt;0")&gt;0,"Negative value",IF(COUNTIF($A$5:$A$204,A80)&gt;1,"Duplicate market ID",IF(OR(P80="Review",Q80="Review",R80="Review",S80="Review"),"Review outlier","OK"))))</f>
        <v/>
      </c>
    </row>
    <row r="81">
      <c r="A81" s="6">
        <f>Raw_Data!A81</f>
        <v/>
      </c>
      <c r="B81" s="7">
        <f>Raw_Data!B81</f>
        <v/>
      </c>
      <c r="C81" s="7">
        <f>Raw_Data!C81</f>
        <v/>
      </c>
      <c r="D81" s="7">
        <f>Raw_Data!D81</f>
        <v/>
      </c>
      <c r="E81" s="7">
        <f>Raw_Data!E81</f>
        <v/>
      </c>
      <c r="F81" s="7">
        <f>SUM(B81:D81)</f>
        <v/>
      </c>
      <c r="G81" s="8">
        <f>IFERROR(B81/F81,0)</f>
        <v/>
      </c>
      <c r="H81" s="8">
        <f>IFERROR(C81/F81,0)</f>
        <v/>
      </c>
      <c r="I81" s="8">
        <f>IFERROR(D81/F81,0)</f>
        <v/>
      </c>
      <c r="J81" s="9">
        <f>IFERROR(E81/F81,0)</f>
        <v/>
      </c>
      <c r="K81" s="9">
        <f>IFERROR((B81-AVERAGE($B$5:$B$204))/STDEV($B$5:$B$204),0)</f>
        <v/>
      </c>
      <c r="L81" s="9">
        <f>IFERROR((C81-AVERAGE($C$5:$C$204))/STDEV($C$5:$C$204),0)</f>
        <v/>
      </c>
      <c r="M81" s="9">
        <f>IFERROR((D81-AVERAGE($D$5:$D$204))/STDEV($D$5:$D$204),0)</f>
        <v/>
      </c>
      <c r="N81" s="9">
        <f>IFERROR((E81-AVERAGE($E$5:$E$204))/STDEV($E$5:$E$204),0)</f>
        <v/>
      </c>
      <c r="O81" s="9">
        <f>IFERROR((F81-AVERAGE($F$5:$F$204))/STDEV($F$5:$F$204),0)</f>
        <v/>
      </c>
      <c r="P81" s="6">
        <f>IF(OR(B81&lt;QUARTILE($B$5:$B$204,1)-1.5*(QUARTILE($B$5:$B$204,3)-QUARTILE($B$5:$B$204,1)),B81&gt;QUARTILE($B$5:$B$204,3)+1.5*(QUARTILE($B$5:$B$204,3)-QUARTILE($B$5:$B$204,1))),"Review","Within range")</f>
        <v/>
      </c>
      <c r="Q81" s="6">
        <f>IF(OR(C81&lt;QUARTILE($C$5:$C$204,1)-1.5*(QUARTILE($C$5:$C$204,3)-QUARTILE($C$5:$C$204,1)),C81&gt;QUARTILE($C$5:$C$204,3)+1.5*(QUARTILE($C$5:$C$204,3)-QUARTILE($C$5:$C$204,1))),"Review","Within range")</f>
        <v/>
      </c>
      <c r="R81" s="6">
        <f>IF(OR(D81&lt;QUARTILE($D$5:$D$204,1)-1.5*(QUARTILE($D$5:$D$204,3)-QUARTILE($D$5:$D$204,1)),D81&gt;QUARTILE($D$5:$D$204,3)+1.5*(QUARTILE($D$5:$D$204,3)-QUARTILE($D$5:$D$204,1))),"Review","Within range")</f>
        <v/>
      </c>
      <c r="S81" s="6">
        <f>IF(OR(E81&lt;QUARTILE($E$5:$E$204,1)-1.5*(QUARTILE($E$5:$E$204,3)-QUARTILE($E$5:$E$204,1)),E81&gt;QUARTILE($E$5:$E$204,3)+1.5*(QUARTILE($E$5:$E$204,3)-QUARTILE($E$5:$E$204,1))),"Review","Within range")</f>
        <v/>
      </c>
      <c r="T81" s="6">
        <f>IF(COUNTBLANK(A81:E81)&gt;0,"Missing value",IF(COUNTIF(B81:E81,"&lt;0")&gt;0,"Negative value",IF(COUNTIF($A$5:$A$204,A81)&gt;1,"Duplicate market ID",IF(OR(P81="Review",Q81="Review",R81="Review",S81="Review"),"Review outlier","OK"))))</f>
        <v/>
      </c>
    </row>
    <row r="82">
      <c r="A82" s="6">
        <f>Raw_Data!A82</f>
        <v/>
      </c>
      <c r="B82" s="7">
        <f>Raw_Data!B82</f>
        <v/>
      </c>
      <c r="C82" s="7">
        <f>Raw_Data!C82</f>
        <v/>
      </c>
      <c r="D82" s="7">
        <f>Raw_Data!D82</f>
        <v/>
      </c>
      <c r="E82" s="7">
        <f>Raw_Data!E82</f>
        <v/>
      </c>
      <c r="F82" s="7">
        <f>SUM(B82:D82)</f>
        <v/>
      </c>
      <c r="G82" s="8">
        <f>IFERROR(B82/F82,0)</f>
        <v/>
      </c>
      <c r="H82" s="8">
        <f>IFERROR(C82/F82,0)</f>
        <v/>
      </c>
      <c r="I82" s="8">
        <f>IFERROR(D82/F82,0)</f>
        <v/>
      </c>
      <c r="J82" s="9">
        <f>IFERROR(E82/F82,0)</f>
        <v/>
      </c>
      <c r="K82" s="9">
        <f>IFERROR((B82-AVERAGE($B$5:$B$204))/STDEV($B$5:$B$204),0)</f>
        <v/>
      </c>
      <c r="L82" s="9">
        <f>IFERROR((C82-AVERAGE($C$5:$C$204))/STDEV($C$5:$C$204),0)</f>
        <v/>
      </c>
      <c r="M82" s="9">
        <f>IFERROR((D82-AVERAGE($D$5:$D$204))/STDEV($D$5:$D$204),0)</f>
        <v/>
      </c>
      <c r="N82" s="9">
        <f>IFERROR((E82-AVERAGE($E$5:$E$204))/STDEV($E$5:$E$204),0)</f>
        <v/>
      </c>
      <c r="O82" s="9">
        <f>IFERROR((F82-AVERAGE($F$5:$F$204))/STDEV($F$5:$F$204),0)</f>
        <v/>
      </c>
      <c r="P82" s="6">
        <f>IF(OR(B82&lt;QUARTILE($B$5:$B$204,1)-1.5*(QUARTILE($B$5:$B$204,3)-QUARTILE($B$5:$B$204,1)),B82&gt;QUARTILE($B$5:$B$204,3)+1.5*(QUARTILE($B$5:$B$204,3)-QUARTILE($B$5:$B$204,1))),"Review","Within range")</f>
        <v/>
      </c>
      <c r="Q82" s="6">
        <f>IF(OR(C82&lt;QUARTILE($C$5:$C$204,1)-1.5*(QUARTILE($C$5:$C$204,3)-QUARTILE($C$5:$C$204,1)),C82&gt;QUARTILE($C$5:$C$204,3)+1.5*(QUARTILE($C$5:$C$204,3)-QUARTILE($C$5:$C$204,1))),"Review","Within range")</f>
        <v/>
      </c>
      <c r="R82" s="6">
        <f>IF(OR(D82&lt;QUARTILE($D$5:$D$204,1)-1.5*(QUARTILE($D$5:$D$204,3)-QUARTILE($D$5:$D$204,1)),D82&gt;QUARTILE($D$5:$D$204,3)+1.5*(QUARTILE($D$5:$D$204,3)-QUARTILE($D$5:$D$204,1))),"Review","Within range")</f>
        <v/>
      </c>
      <c r="S82" s="6">
        <f>IF(OR(E82&lt;QUARTILE($E$5:$E$204,1)-1.5*(QUARTILE($E$5:$E$204,3)-QUARTILE($E$5:$E$204,1)),E82&gt;QUARTILE($E$5:$E$204,3)+1.5*(QUARTILE($E$5:$E$204,3)-QUARTILE($E$5:$E$204,1))),"Review","Within range")</f>
        <v/>
      </c>
      <c r="T82" s="6">
        <f>IF(COUNTBLANK(A82:E82)&gt;0,"Missing value",IF(COUNTIF(B82:E82,"&lt;0")&gt;0,"Negative value",IF(COUNTIF($A$5:$A$204,A82)&gt;1,"Duplicate market ID",IF(OR(P82="Review",Q82="Review",R82="Review",S82="Review"),"Review outlier","OK"))))</f>
        <v/>
      </c>
    </row>
    <row r="83">
      <c r="A83" s="6">
        <f>Raw_Data!A83</f>
        <v/>
      </c>
      <c r="B83" s="7">
        <f>Raw_Data!B83</f>
        <v/>
      </c>
      <c r="C83" s="7">
        <f>Raw_Data!C83</f>
        <v/>
      </c>
      <c r="D83" s="7">
        <f>Raw_Data!D83</f>
        <v/>
      </c>
      <c r="E83" s="7">
        <f>Raw_Data!E83</f>
        <v/>
      </c>
      <c r="F83" s="7">
        <f>SUM(B83:D83)</f>
        <v/>
      </c>
      <c r="G83" s="8">
        <f>IFERROR(B83/F83,0)</f>
        <v/>
      </c>
      <c r="H83" s="8">
        <f>IFERROR(C83/F83,0)</f>
        <v/>
      </c>
      <c r="I83" s="8">
        <f>IFERROR(D83/F83,0)</f>
        <v/>
      </c>
      <c r="J83" s="9">
        <f>IFERROR(E83/F83,0)</f>
        <v/>
      </c>
      <c r="K83" s="9">
        <f>IFERROR((B83-AVERAGE($B$5:$B$204))/STDEV($B$5:$B$204),0)</f>
        <v/>
      </c>
      <c r="L83" s="9">
        <f>IFERROR((C83-AVERAGE($C$5:$C$204))/STDEV($C$5:$C$204),0)</f>
        <v/>
      </c>
      <c r="M83" s="9">
        <f>IFERROR((D83-AVERAGE($D$5:$D$204))/STDEV($D$5:$D$204),0)</f>
        <v/>
      </c>
      <c r="N83" s="9">
        <f>IFERROR((E83-AVERAGE($E$5:$E$204))/STDEV($E$5:$E$204),0)</f>
        <v/>
      </c>
      <c r="O83" s="9">
        <f>IFERROR((F83-AVERAGE($F$5:$F$204))/STDEV($F$5:$F$204),0)</f>
        <v/>
      </c>
      <c r="P83" s="6">
        <f>IF(OR(B83&lt;QUARTILE($B$5:$B$204,1)-1.5*(QUARTILE($B$5:$B$204,3)-QUARTILE($B$5:$B$204,1)),B83&gt;QUARTILE($B$5:$B$204,3)+1.5*(QUARTILE($B$5:$B$204,3)-QUARTILE($B$5:$B$204,1))),"Review","Within range")</f>
        <v/>
      </c>
      <c r="Q83" s="6">
        <f>IF(OR(C83&lt;QUARTILE($C$5:$C$204,1)-1.5*(QUARTILE($C$5:$C$204,3)-QUARTILE($C$5:$C$204,1)),C83&gt;QUARTILE($C$5:$C$204,3)+1.5*(QUARTILE($C$5:$C$204,3)-QUARTILE($C$5:$C$204,1))),"Review","Within range")</f>
        <v/>
      </c>
      <c r="R83" s="6">
        <f>IF(OR(D83&lt;QUARTILE($D$5:$D$204,1)-1.5*(QUARTILE($D$5:$D$204,3)-QUARTILE($D$5:$D$204,1)),D83&gt;QUARTILE($D$5:$D$204,3)+1.5*(QUARTILE($D$5:$D$204,3)-QUARTILE($D$5:$D$204,1))),"Review","Within range")</f>
        <v/>
      </c>
      <c r="S83" s="6">
        <f>IF(OR(E83&lt;QUARTILE($E$5:$E$204,1)-1.5*(QUARTILE($E$5:$E$204,3)-QUARTILE($E$5:$E$204,1)),E83&gt;QUARTILE($E$5:$E$204,3)+1.5*(QUARTILE($E$5:$E$204,3)-QUARTILE($E$5:$E$204,1))),"Review","Within range")</f>
        <v/>
      </c>
      <c r="T83" s="6">
        <f>IF(COUNTBLANK(A83:E83)&gt;0,"Missing value",IF(COUNTIF(B83:E83,"&lt;0")&gt;0,"Negative value",IF(COUNTIF($A$5:$A$204,A83)&gt;1,"Duplicate market ID",IF(OR(P83="Review",Q83="Review",R83="Review",S83="Review"),"Review outlier","OK"))))</f>
        <v/>
      </c>
    </row>
    <row r="84">
      <c r="A84" s="6">
        <f>Raw_Data!A84</f>
        <v/>
      </c>
      <c r="B84" s="7">
        <f>Raw_Data!B84</f>
        <v/>
      </c>
      <c r="C84" s="7">
        <f>Raw_Data!C84</f>
        <v/>
      </c>
      <c r="D84" s="7">
        <f>Raw_Data!D84</f>
        <v/>
      </c>
      <c r="E84" s="7">
        <f>Raw_Data!E84</f>
        <v/>
      </c>
      <c r="F84" s="7">
        <f>SUM(B84:D84)</f>
        <v/>
      </c>
      <c r="G84" s="8">
        <f>IFERROR(B84/F84,0)</f>
        <v/>
      </c>
      <c r="H84" s="8">
        <f>IFERROR(C84/F84,0)</f>
        <v/>
      </c>
      <c r="I84" s="8">
        <f>IFERROR(D84/F84,0)</f>
        <v/>
      </c>
      <c r="J84" s="9">
        <f>IFERROR(E84/F84,0)</f>
        <v/>
      </c>
      <c r="K84" s="9">
        <f>IFERROR((B84-AVERAGE($B$5:$B$204))/STDEV($B$5:$B$204),0)</f>
        <v/>
      </c>
      <c r="L84" s="9">
        <f>IFERROR((C84-AVERAGE($C$5:$C$204))/STDEV($C$5:$C$204),0)</f>
        <v/>
      </c>
      <c r="M84" s="9">
        <f>IFERROR((D84-AVERAGE($D$5:$D$204))/STDEV($D$5:$D$204),0)</f>
        <v/>
      </c>
      <c r="N84" s="9">
        <f>IFERROR((E84-AVERAGE($E$5:$E$204))/STDEV($E$5:$E$204),0)</f>
        <v/>
      </c>
      <c r="O84" s="9">
        <f>IFERROR((F84-AVERAGE($F$5:$F$204))/STDEV($F$5:$F$204),0)</f>
        <v/>
      </c>
      <c r="P84" s="6">
        <f>IF(OR(B84&lt;QUARTILE($B$5:$B$204,1)-1.5*(QUARTILE($B$5:$B$204,3)-QUARTILE($B$5:$B$204,1)),B84&gt;QUARTILE($B$5:$B$204,3)+1.5*(QUARTILE($B$5:$B$204,3)-QUARTILE($B$5:$B$204,1))),"Review","Within range")</f>
        <v/>
      </c>
      <c r="Q84" s="6">
        <f>IF(OR(C84&lt;QUARTILE($C$5:$C$204,1)-1.5*(QUARTILE($C$5:$C$204,3)-QUARTILE($C$5:$C$204,1)),C84&gt;QUARTILE($C$5:$C$204,3)+1.5*(QUARTILE($C$5:$C$204,3)-QUARTILE($C$5:$C$204,1))),"Review","Within range")</f>
        <v/>
      </c>
      <c r="R84" s="6">
        <f>IF(OR(D84&lt;QUARTILE($D$5:$D$204,1)-1.5*(QUARTILE($D$5:$D$204,3)-QUARTILE($D$5:$D$204,1)),D84&gt;QUARTILE($D$5:$D$204,3)+1.5*(QUARTILE($D$5:$D$204,3)-QUARTILE($D$5:$D$204,1))),"Review","Within range")</f>
        <v/>
      </c>
      <c r="S84" s="6">
        <f>IF(OR(E84&lt;QUARTILE($E$5:$E$204,1)-1.5*(QUARTILE($E$5:$E$204,3)-QUARTILE($E$5:$E$204,1)),E84&gt;QUARTILE($E$5:$E$204,3)+1.5*(QUARTILE($E$5:$E$204,3)-QUARTILE($E$5:$E$204,1))),"Review","Within range")</f>
        <v/>
      </c>
      <c r="T84" s="6">
        <f>IF(COUNTBLANK(A84:E84)&gt;0,"Missing value",IF(COUNTIF(B84:E84,"&lt;0")&gt;0,"Negative value",IF(COUNTIF($A$5:$A$204,A84)&gt;1,"Duplicate market ID",IF(OR(P84="Review",Q84="Review",R84="Review",S84="Review"),"Review outlier","OK"))))</f>
        <v/>
      </c>
    </row>
    <row r="85">
      <c r="A85" s="6">
        <f>Raw_Data!A85</f>
        <v/>
      </c>
      <c r="B85" s="7">
        <f>Raw_Data!B85</f>
        <v/>
      </c>
      <c r="C85" s="7">
        <f>Raw_Data!C85</f>
        <v/>
      </c>
      <c r="D85" s="7">
        <f>Raw_Data!D85</f>
        <v/>
      </c>
      <c r="E85" s="7">
        <f>Raw_Data!E85</f>
        <v/>
      </c>
      <c r="F85" s="7">
        <f>SUM(B85:D85)</f>
        <v/>
      </c>
      <c r="G85" s="8">
        <f>IFERROR(B85/F85,0)</f>
        <v/>
      </c>
      <c r="H85" s="8">
        <f>IFERROR(C85/F85,0)</f>
        <v/>
      </c>
      <c r="I85" s="8">
        <f>IFERROR(D85/F85,0)</f>
        <v/>
      </c>
      <c r="J85" s="9">
        <f>IFERROR(E85/F85,0)</f>
        <v/>
      </c>
      <c r="K85" s="9">
        <f>IFERROR((B85-AVERAGE($B$5:$B$204))/STDEV($B$5:$B$204),0)</f>
        <v/>
      </c>
      <c r="L85" s="9">
        <f>IFERROR((C85-AVERAGE($C$5:$C$204))/STDEV($C$5:$C$204),0)</f>
        <v/>
      </c>
      <c r="M85" s="9">
        <f>IFERROR((D85-AVERAGE($D$5:$D$204))/STDEV($D$5:$D$204),0)</f>
        <v/>
      </c>
      <c r="N85" s="9">
        <f>IFERROR((E85-AVERAGE($E$5:$E$204))/STDEV($E$5:$E$204),0)</f>
        <v/>
      </c>
      <c r="O85" s="9">
        <f>IFERROR((F85-AVERAGE($F$5:$F$204))/STDEV($F$5:$F$204),0)</f>
        <v/>
      </c>
      <c r="P85" s="6">
        <f>IF(OR(B85&lt;QUARTILE($B$5:$B$204,1)-1.5*(QUARTILE($B$5:$B$204,3)-QUARTILE($B$5:$B$204,1)),B85&gt;QUARTILE($B$5:$B$204,3)+1.5*(QUARTILE($B$5:$B$204,3)-QUARTILE($B$5:$B$204,1))),"Review","Within range")</f>
        <v/>
      </c>
      <c r="Q85" s="6">
        <f>IF(OR(C85&lt;QUARTILE($C$5:$C$204,1)-1.5*(QUARTILE($C$5:$C$204,3)-QUARTILE($C$5:$C$204,1)),C85&gt;QUARTILE($C$5:$C$204,3)+1.5*(QUARTILE($C$5:$C$204,3)-QUARTILE($C$5:$C$204,1))),"Review","Within range")</f>
        <v/>
      </c>
      <c r="R85" s="6">
        <f>IF(OR(D85&lt;QUARTILE($D$5:$D$204,1)-1.5*(QUARTILE($D$5:$D$204,3)-QUARTILE($D$5:$D$204,1)),D85&gt;QUARTILE($D$5:$D$204,3)+1.5*(QUARTILE($D$5:$D$204,3)-QUARTILE($D$5:$D$204,1))),"Review","Within range")</f>
        <v/>
      </c>
      <c r="S85" s="6">
        <f>IF(OR(E85&lt;QUARTILE($E$5:$E$204,1)-1.5*(QUARTILE($E$5:$E$204,3)-QUARTILE($E$5:$E$204,1)),E85&gt;QUARTILE($E$5:$E$204,3)+1.5*(QUARTILE($E$5:$E$204,3)-QUARTILE($E$5:$E$204,1))),"Review","Within range")</f>
        <v/>
      </c>
      <c r="T85" s="6">
        <f>IF(COUNTBLANK(A85:E85)&gt;0,"Missing value",IF(COUNTIF(B85:E85,"&lt;0")&gt;0,"Negative value",IF(COUNTIF($A$5:$A$204,A85)&gt;1,"Duplicate market ID",IF(OR(P85="Review",Q85="Review",R85="Review",S85="Review"),"Review outlier","OK"))))</f>
        <v/>
      </c>
    </row>
    <row r="86">
      <c r="A86" s="6">
        <f>Raw_Data!A86</f>
        <v/>
      </c>
      <c r="B86" s="7">
        <f>Raw_Data!B86</f>
        <v/>
      </c>
      <c r="C86" s="7">
        <f>Raw_Data!C86</f>
        <v/>
      </c>
      <c r="D86" s="7">
        <f>Raw_Data!D86</f>
        <v/>
      </c>
      <c r="E86" s="7">
        <f>Raw_Data!E86</f>
        <v/>
      </c>
      <c r="F86" s="7">
        <f>SUM(B86:D86)</f>
        <v/>
      </c>
      <c r="G86" s="8">
        <f>IFERROR(B86/F86,0)</f>
        <v/>
      </c>
      <c r="H86" s="8">
        <f>IFERROR(C86/F86,0)</f>
        <v/>
      </c>
      <c r="I86" s="8">
        <f>IFERROR(D86/F86,0)</f>
        <v/>
      </c>
      <c r="J86" s="9">
        <f>IFERROR(E86/F86,0)</f>
        <v/>
      </c>
      <c r="K86" s="9">
        <f>IFERROR((B86-AVERAGE($B$5:$B$204))/STDEV($B$5:$B$204),0)</f>
        <v/>
      </c>
      <c r="L86" s="9">
        <f>IFERROR((C86-AVERAGE($C$5:$C$204))/STDEV($C$5:$C$204),0)</f>
        <v/>
      </c>
      <c r="M86" s="9">
        <f>IFERROR((D86-AVERAGE($D$5:$D$204))/STDEV($D$5:$D$204),0)</f>
        <v/>
      </c>
      <c r="N86" s="9">
        <f>IFERROR((E86-AVERAGE($E$5:$E$204))/STDEV($E$5:$E$204),0)</f>
        <v/>
      </c>
      <c r="O86" s="9">
        <f>IFERROR((F86-AVERAGE($F$5:$F$204))/STDEV($F$5:$F$204),0)</f>
        <v/>
      </c>
      <c r="P86" s="6">
        <f>IF(OR(B86&lt;QUARTILE($B$5:$B$204,1)-1.5*(QUARTILE($B$5:$B$204,3)-QUARTILE($B$5:$B$204,1)),B86&gt;QUARTILE($B$5:$B$204,3)+1.5*(QUARTILE($B$5:$B$204,3)-QUARTILE($B$5:$B$204,1))),"Review","Within range")</f>
        <v/>
      </c>
      <c r="Q86" s="6">
        <f>IF(OR(C86&lt;QUARTILE($C$5:$C$204,1)-1.5*(QUARTILE($C$5:$C$204,3)-QUARTILE($C$5:$C$204,1)),C86&gt;QUARTILE($C$5:$C$204,3)+1.5*(QUARTILE($C$5:$C$204,3)-QUARTILE($C$5:$C$204,1))),"Review","Within range")</f>
        <v/>
      </c>
      <c r="R86" s="6">
        <f>IF(OR(D86&lt;QUARTILE($D$5:$D$204,1)-1.5*(QUARTILE($D$5:$D$204,3)-QUARTILE($D$5:$D$204,1)),D86&gt;QUARTILE($D$5:$D$204,3)+1.5*(QUARTILE($D$5:$D$204,3)-QUARTILE($D$5:$D$204,1))),"Review","Within range")</f>
        <v/>
      </c>
      <c r="S86" s="6">
        <f>IF(OR(E86&lt;QUARTILE($E$5:$E$204,1)-1.5*(QUARTILE($E$5:$E$204,3)-QUARTILE($E$5:$E$204,1)),E86&gt;QUARTILE($E$5:$E$204,3)+1.5*(QUARTILE($E$5:$E$204,3)-QUARTILE($E$5:$E$204,1))),"Review","Within range")</f>
        <v/>
      </c>
      <c r="T86" s="6">
        <f>IF(COUNTBLANK(A86:E86)&gt;0,"Missing value",IF(COUNTIF(B86:E86,"&lt;0")&gt;0,"Negative value",IF(COUNTIF($A$5:$A$204,A86)&gt;1,"Duplicate market ID",IF(OR(P86="Review",Q86="Review",R86="Review",S86="Review"),"Review outlier","OK"))))</f>
        <v/>
      </c>
    </row>
    <row r="87">
      <c r="A87" s="6">
        <f>Raw_Data!A87</f>
        <v/>
      </c>
      <c r="B87" s="7">
        <f>Raw_Data!B87</f>
        <v/>
      </c>
      <c r="C87" s="7">
        <f>Raw_Data!C87</f>
        <v/>
      </c>
      <c r="D87" s="7">
        <f>Raw_Data!D87</f>
        <v/>
      </c>
      <c r="E87" s="7">
        <f>Raw_Data!E87</f>
        <v/>
      </c>
      <c r="F87" s="7">
        <f>SUM(B87:D87)</f>
        <v/>
      </c>
      <c r="G87" s="8">
        <f>IFERROR(B87/F87,0)</f>
        <v/>
      </c>
      <c r="H87" s="8">
        <f>IFERROR(C87/F87,0)</f>
        <v/>
      </c>
      <c r="I87" s="8">
        <f>IFERROR(D87/F87,0)</f>
        <v/>
      </c>
      <c r="J87" s="9">
        <f>IFERROR(E87/F87,0)</f>
        <v/>
      </c>
      <c r="K87" s="9">
        <f>IFERROR((B87-AVERAGE($B$5:$B$204))/STDEV($B$5:$B$204),0)</f>
        <v/>
      </c>
      <c r="L87" s="9">
        <f>IFERROR((C87-AVERAGE($C$5:$C$204))/STDEV($C$5:$C$204),0)</f>
        <v/>
      </c>
      <c r="M87" s="9">
        <f>IFERROR((D87-AVERAGE($D$5:$D$204))/STDEV($D$5:$D$204),0)</f>
        <v/>
      </c>
      <c r="N87" s="9">
        <f>IFERROR((E87-AVERAGE($E$5:$E$204))/STDEV($E$5:$E$204),0)</f>
        <v/>
      </c>
      <c r="O87" s="9">
        <f>IFERROR((F87-AVERAGE($F$5:$F$204))/STDEV($F$5:$F$204),0)</f>
        <v/>
      </c>
      <c r="P87" s="6">
        <f>IF(OR(B87&lt;QUARTILE($B$5:$B$204,1)-1.5*(QUARTILE($B$5:$B$204,3)-QUARTILE($B$5:$B$204,1)),B87&gt;QUARTILE($B$5:$B$204,3)+1.5*(QUARTILE($B$5:$B$204,3)-QUARTILE($B$5:$B$204,1))),"Review","Within range")</f>
        <v/>
      </c>
      <c r="Q87" s="6">
        <f>IF(OR(C87&lt;QUARTILE($C$5:$C$204,1)-1.5*(QUARTILE($C$5:$C$204,3)-QUARTILE($C$5:$C$204,1)),C87&gt;QUARTILE($C$5:$C$204,3)+1.5*(QUARTILE($C$5:$C$204,3)-QUARTILE($C$5:$C$204,1))),"Review","Within range")</f>
        <v/>
      </c>
      <c r="R87" s="6">
        <f>IF(OR(D87&lt;QUARTILE($D$5:$D$204,1)-1.5*(QUARTILE($D$5:$D$204,3)-QUARTILE($D$5:$D$204,1)),D87&gt;QUARTILE($D$5:$D$204,3)+1.5*(QUARTILE($D$5:$D$204,3)-QUARTILE($D$5:$D$204,1))),"Review","Within range")</f>
        <v/>
      </c>
      <c r="S87" s="6">
        <f>IF(OR(E87&lt;QUARTILE($E$5:$E$204,1)-1.5*(QUARTILE($E$5:$E$204,3)-QUARTILE($E$5:$E$204,1)),E87&gt;QUARTILE($E$5:$E$204,3)+1.5*(QUARTILE($E$5:$E$204,3)-QUARTILE($E$5:$E$204,1))),"Review","Within range")</f>
        <v/>
      </c>
      <c r="T87" s="6">
        <f>IF(COUNTBLANK(A87:E87)&gt;0,"Missing value",IF(COUNTIF(B87:E87,"&lt;0")&gt;0,"Negative value",IF(COUNTIF($A$5:$A$204,A87)&gt;1,"Duplicate market ID",IF(OR(P87="Review",Q87="Review",R87="Review",S87="Review"),"Review outlier","OK"))))</f>
        <v/>
      </c>
    </row>
    <row r="88">
      <c r="A88" s="6">
        <f>Raw_Data!A88</f>
        <v/>
      </c>
      <c r="B88" s="7">
        <f>Raw_Data!B88</f>
        <v/>
      </c>
      <c r="C88" s="7">
        <f>Raw_Data!C88</f>
        <v/>
      </c>
      <c r="D88" s="7">
        <f>Raw_Data!D88</f>
        <v/>
      </c>
      <c r="E88" s="7">
        <f>Raw_Data!E88</f>
        <v/>
      </c>
      <c r="F88" s="7">
        <f>SUM(B88:D88)</f>
        <v/>
      </c>
      <c r="G88" s="8">
        <f>IFERROR(B88/F88,0)</f>
        <v/>
      </c>
      <c r="H88" s="8">
        <f>IFERROR(C88/F88,0)</f>
        <v/>
      </c>
      <c r="I88" s="8">
        <f>IFERROR(D88/F88,0)</f>
        <v/>
      </c>
      <c r="J88" s="9">
        <f>IFERROR(E88/F88,0)</f>
        <v/>
      </c>
      <c r="K88" s="9">
        <f>IFERROR((B88-AVERAGE($B$5:$B$204))/STDEV($B$5:$B$204),0)</f>
        <v/>
      </c>
      <c r="L88" s="9">
        <f>IFERROR((C88-AVERAGE($C$5:$C$204))/STDEV($C$5:$C$204),0)</f>
        <v/>
      </c>
      <c r="M88" s="9">
        <f>IFERROR((D88-AVERAGE($D$5:$D$204))/STDEV($D$5:$D$204),0)</f>
        <v/>
      </c>
      <c r="N88" s="9">
        <f>IFERROR((E88-AVERAGE($E$5:$E$204))/STDEV($E$5:$E$204),0)</f>
        <v/>
      </c>
      <c r="O88" s="9">
        <f>IFERROR((F88-AVERAGE($F$5:$F$204))/STDEV($F$5:$F$204),0)</f>
        <v/>
      </c>
      <c r="P88" s="6">
        <f>IF(OR(B88&lt;QUARTILE($B$5:$B$204,1)-1.5*(QUARTILE($B$5:$B$204,3)-QUARTILE($B$5:$B$204,1)),B88&gt;QUARTILE($B$5:$B$204,3)+1.5*(QUARTILE($B$5:$B$204,3)-QUARTILE($B$5:$B$204,1))),"Review","Within range")</f>
        <v/>
      </c>
      <c r="Q88" s="6">
        <f>IF(OR(C88&lt;QUARTILE($C$5:$C$204,1)-1.5*(QUARTILE($C$5:$C$204,3)-QUARTILE($C$5:$C$204,1)),C88&gt;QUARTILE($C$5:$C$204,3)+1.5*(QUARTILE($C$5:$C$204,3)-QUARTILE($C$5:$C$204,1))),"Review","Within range")</f>
        <v/>
      </c>
      <c r="R88" s="6">
        <f>IF(OR(D88&lt;QUARTILE($D$5:$D$204,1)-1.5*(QUARTILE($D$5:$D$204,3)-QUARTILE($D$5:$D$204,1)),D88&gt;QUARTILE($D$5:$D$204,3)+1.5*(QUARTILE($D$5:$D$204,3)-QUARTILE($D$5:$D$204,1))),"Review","Within range")</f>
        <v/>
      </c>
      <c r="S88" s="6">
        <f>IF(OR(E88&lt;QUARTILE($E$5:$E$204,1)-1.5*(QUARTILE($E$5:$E$204,3)-QUARTILE($E$5:$E$204,1)),E88&gt;QUARTILE($E$5:$E$204,3)+1.5*(QUARTILE($E$5:$E$204,3)-QUARTILE($E$5:$E$204,1))),"Review","Within range")</f>
        <v/>
      </c>
      <c r="T88" s="6">
        <f>IF(COUNTBLANK(A88:E88)&gt;0,"Missing value",IF(COUNTIF(B88:E88,"&lt;0")&gt;0,"Negative value",IF(COUNTIF($A$5:$A$204,A88)&gt;1,"Duplicate market ID",IF(OR(P88="Review",Q88="Review",R88="Review",S88="Review"),"Review outlier","OK"))))</f>
        <v/>
      </c>
    </row>
    <row r="89">
      <c r="A89" s="6">
        <f>Raw_Data!A89</f>
        <v/>
      </c>
      <c r="B89" s="7">
        <f>Raw_Data!B89</f>
        <v/>
      </c>
      <c r="C89" s="7">
        <f>Raw_Data!C89</f>
        <v/>
      </c>
      <c r="D89" s="7">
        <f>Raw_Data!D89</f>
        <v/>
      </c>
      <c r="E89" s="7">
        <f>Raw_Data!E89</f>
        <v/>
      </c>
      <c r="F89" s="7">
        <f>SUM(B89:D89)</f>
        <v/>
      </c>
      <c r="G89" s="8">
        <f>IFERROR(B89/F89,0)</f>
        <v/>
      </c>
      <c r="H89" s="8">
        <f>IFERROR(C89/F89,0)</f>
        <v/>
      </c>
      <c r="I89" s="8">
        <f>IFERROR(D89/F89,0)</f>
        <v/>
      </c>
      <c r="J89" s="9">
        <f>IFERROR(E89/F89,0)</f>
        <v/>
      </c>
      <c r="K89" s="9">
        <f>IFERROR((B89-AVERAGE($B$5:$B$204))/STDEV($B$5:$B$204),0)</f>
        <v/>
      </c>
      <c r="L89" s="9">
        <f>IFERROR((C89-AVERAGE($C$5:$C$204))/STDEV($C$5:$C$204),0)</f>
        <v/>
      </c>
      <c r="M89" s="9">
        <f>IFERROR((D89-AVERAGE($D$5:$D$204))/STDEV($D$5:$D$204),0)</f>
        <v/>
      </c>
      <c r="N89" s="9">
        <f>IFERROR((E89-AVERAGE($E$5:$E$204))/STDEV($E$5:$E$204),0)</f>
        <v/>
      </c>
      <c r="O89" s="9">
        <f>IFERROR((F89-AVERAGE($F$5:$F$204))/STDEV($F$5:$F$204),0)</f>
        <v/>
      </c>
      <c r="P89" s="6">
        <f>IF(OR(B89&lt;QUARTILE($B$5:$B$204,1)-1.5*(QUARTILE($B$5:$B$204,3)-QUARTILE($B$5:$B$204,1)),B89&gt;QUARTILE($B$5:$B$204,3)+1.5*(QUARTILE($B$5:$B$204,3)-QUARTILE($B$5:$B$204,1))),"Review","Within range")</f>
        <v/>
      </c>
      <c r="Q89" s="6">
        <f>IF(OR(C89&lt;QUARTILE($C$5:$C$204,1)-1.5*(QUARTILE($C$5:$C$204,3)-QUARTILE($C$5:$C$204,1)),C89&gt;QUARTILE($C$5:$C$204,3)+1.5*(QUARTILE($C$5:$C$204,3)-QUARTILE($C$5:$C$204,1))),"Review","Within range")</f>
        <v/>
      </c>
      <c r="R89" s="6">
        <f>IF(OR(D89&lt;QUARTILE($D$5:$D$204,1)-1.5*(QUARTILE($D$5:$D$204,3)-QUARTILE($D$5:$D$204,1)),D89&gt;QUARTILE($D$5:$D$204,3)+1.5*(QUARTILE($D$5:$D$204,3)-QUARTILE($D$5:$D$204,1))),"Review","Within range")</f>
        <v/>
      </c>
      <c r="S89" s="6">
        <f>IF(OR(E89&lt;QUARTILE($E$5:$E$204,1)-1.5*(QUARTILE($E$5:$E$204,3)-QUARTILE($E$5:$E$204,1)),E89&gt;QUARTILE($E$5:$E$204,3)+1.5*(QUARTILE($E$5:$E$204,3)-QUARTILE($E$5:$E$204,1))),"Review","Within range")</f>
        <v/>
      </c>
      <c r="T89" s="6">
        <f>IF(COUNTBLANK(A89:E89)&gt;0,"Missing value",IF(COUNTIF(B89:E89,"&lt;0")&gt;0,"Negative value",IF(COUNTIF($A$5:$A$204,A89)&gt;1,"Duplicate market ID",IF(OR(P89="Review",Q89="Review",R89="Review",S89="Review"),"Review outlier","OK"))))</f>
        <v/>
      </c>
    </row>
    <row r="90">
      <c r="A90" s="6">
        <f>Raw_Data!A90</f>
        <v/>
      </c>
      <c r="B90" s="7">
        <f>Raw_Data!B90</f>
        <v/>
      </c>
      <c r="C90" s="7">
        <f>Raw_Data!C90</f>
        <v/>
      </c>
      <c r="D90" s="7">
        <f>Raw_Data!D90</f>
        <v/>
      </c>
      <c r="E90" s="7">
        <f>Raw_Data!E90</f>
        <v/>
      </c>
      <c r="F90" s="7">
        <f>SUM(B90:D90)</f>
        <v/>
      </c>
      <c r="G90" s="8">
        <f>IFERROR(B90/F90,0)</f>
        <v/>
      </c>
      <c r="H90" s="8">
        <f>IFERROR(C90/F90,0)</f>
        <v/>
      </c>
      <c r="I90" s="8">
        <f>IFERROR(D90/F90,0)</f>
        <v/>
      </c>
      <c r="J90" s="9">
        <f>IFERROR(E90/F90,0)</f>
        <v/>
      </c>
      <c r="K90" s="9">
        <f>IFERROR((B90-AVERAGE($B$5:$B$204))/STDEV($B$5:$B$204),0)</f>
        <v/>
      </c>
      <c r="L90" s="9">
        <f>IFERROR((C90-AVERAGE($C$5:$C$204))/STDEV($C$5:$C$204),0)</f>
        <v/>
      </c>
      <c r="M90" s="9">
        <f>IFERROR((D90-AVERAGE($D$5:$D$204))/STDEV($D$5:$D$204),0)</f>
        <v/>
      </c>
      <c r="N90" s="9">
        <f>IFERROR((E90-AVERAGE($E$5:$E$204))/STDEV($E$5:$E$204),0)</f>
        <v/>
      </c>
      <c r="O90" s="9">
        <f>IFERROR((F90-AVERAGE($F$5:$F$204))/STDEV($F$5:$F$204),0)</f>
        <v/>
      </c>
      <c r="P90" s="6">
        <f>IF(OR(B90&lt;QUARTILE($B$5:$B$204,1)-1.5*(QUARTILE($B$5:$B$204,3)-QUARTILE($B$5:$B$204,1)),B90&gt;QUARTILE($B$5:$B$204,3)+1.5*(QUARTILE($B$5:$B$204,3)-QUARTILE($B$5:$B$204,1))),"Review","Within range")</f>
        <v/>
      </c>
      <c r="Q90" s="6">
        <f>IF(OR(C90&lt;QUARTILE($C$5:$C$204,1)-1.5*(QUARTILE($C$5:$C$204,3)-QUARTILE($C$5:$C$204,1)),C90&gt;QUARTILE($C$5:$C$204,3)+1.5*(QUARTILE($C$5:$C$204,3)-QUARTILE($C$5:$C$204,1))),"Review","Within range")</f>
        <v/>
      </c>
      <c r="R90" s="6">
        <f>IF(OR(D90&lt;QUARTILE($D$5:$D$204,1)-1.5*(QUARTILE($D$5:$D$204,3)-QUARTILE($D$5:$D$204,1)),D90&gt;QUARTILE($D$5:$D$204,3)+1.5*(QUARTILE($D$5:$D$204,3)-QUARTILE($D$5:$D$204,1))),"Review","Within range")</f>
        <v/>
      </c>
      <c r="S90" s="6">
        <f>IF(OR(E90&lt;QUARTILE($E$5:$E$204,1)-1.5*(QUARTILE($E$5:$E$204,3)-QUARTILE($E$5:$E$204,1)),E90&gt;QUARTILE($E$5:$E$204,3)+1.5*(QUARTILE($E$5:$E$204,3)-QUARTILE($E$5:$E$204,1))),"Review","Within range")</f>
        <v/>
      </c>
      <c r="T90" s="6">
        <f>IF(COUNTBLANK(A90:E90)&gt;0,"Missing value",IF(COUNTIF(B90:E90,"&lt;0")&gt;0,"Negative value",IF(COUNTIF($A$5:$A$204,A90)&gt;1,"Duplicate market ID",IF(OR(P90="Review",Q90="Review",R90="Review",S90="Review"),"Review outlier","OK"))))</f>
        <v/>
      </c>
    </row>
    <row r="91">
      <c r="A91" s="6">
        <f>Raw_Data!A91</f>
        <v/>
      </c>
      <c r="B91" s="7">
        <f>Raw_Data!B91</f>
        <v/>
      </c>
      <c r="C91" s="7">
        <f>Raw_Data!C91</f>
        <v/>
      </c>
      <c r="D91" s="7">
        <f>Raw_Data!D91</f>
        <v/>
      </c>
      <c r="E91" s="7">
        <f>Raw_Data!E91</f>
        <v/>
      </c>
      <c r="F91" s="7">
        <f>SUM(B91:D91)</f>
        <v/>
      </c>
      <c r="G91" s="8">
        <f>IFERROR(B91/F91,0)</f>
        <v/>
      </c>
      <c r="H91" s="8">
        <f>IFERROR(C91/F91,0)</f>
        <v/>
      </c>
      <c r="I91" s="8">
        <f>IFERROR(D91/F91,0)</f>
        <v/>
      </c>
      <c r="J91" s="9">
        <f>IFERROR(E91/F91,0)</f>
        <v/>
      </c>
      <c r="K91" s="9">
        <f>IFERROR((B91-AVERAGE($B$5:$B$204))/STDEV($B$5:$B$204),0)</f>
        <v/>
      </c>
      <c r="L91" s="9">
        <f>IFERROR((C91-AVERAGE($C$5:$C$204))/STDEV($C$5:$C$204),0)</f>
        <v/>
      </c>
      <c r="M91" s="9">
        <f>IFERROR((D91-AVERAGE($D$5:$D$204))/STDEV($D$5:$D$204),0)</f>
        <v/>
      </c>
      <c r="N91" s="9">
        <f>IFERROR((E91-AVERAGE($E$5:$E$204))/STDEV($E$5:$E$204),0)</f>
        <v/>
      </c>
      <c r="O91" s="9">
        <f>IFERROR((F91-AVERAGE($F$5:$F$204))/STDEV($F$5:$F$204),0)</f>
        <v/>
      </c>
      <c r="P91" s="6">
        <f>IF(OR(B91&lt;QUARTILE($B$5:$B$204,1)-1.5*(QUARTILE($B$5:$B$204,3)-QUARTILE($B$5:$B$204,1)),B91&gt;QUARTILE($B$5:$B$204,3)+1.5*(QUARTILE($B$5:$B$204,3)-QUARTILE($B$5:$B$204,1))),"Review","Within range")</f>
        <v/>
      </c>
      <c r="Q91" s="6">
        <f>IF(OR(C91&lt;QUARTILE($C$5:$C$204,1)-1.5*(QUARTILE($C$5:$C$204,3)-QUARTILE($C$5:$C$204,1)),C91&gt;QUARTILE($C$5:$C$204,3)+1.5*(QUARTILE($C$5:$C$204,3)-QUARTILE($C$5:$C$204,1))),"Review","Within range")</f>
        <v/>
      </c>
      <c r="R91" s="6">
        <f>IF(OR(D91&lt;QUARTILE($D$5:$D$204,1)-1.5*(QUARTILE($D$5:$D$204,3)-QUARTILE($D$5:$D$204,1)),D91&gt;QUARTILE($D$5:$D$204,3)+1.5*(QUARTILE($D$5:$D$204,3)-QUARTILE($D$5:$D$204,1))),"Review","Within range")</f>
        <v/>
      </c>
      <c r="S91" s="6">
        <f>IF(OR(E91&lt;QUARTILE($E$5:$E$204,1)-1.5*(QUARTILE($E$5:$E$204,3)-QUARTILE($E$5:$E$204,1)),E91&gt;QUARTILE($E$5:$E$204,3)+1.5*(QUARTILE($E$5:$E$204,3)-QUARTILE($E$5:$E$204,1))),"Review","Within range")</f>
        <v/>
      </c>
      <c r="T91" s="6">
        <f>IF(COUNTBLANK(A91:E91)&gt;0,"Missing value",IF(COUNTIF(B91:E91,"&lt;0")&gt;0,"Negative value",IF(COUNTIF($A$5:$A$204,A91)&gt;1,"Duplicate market ID",IF(OR(P91="Review",Q91="Review",R91="Review",S91="Review"),"Review outlier","OK"))))</f>
        <v/>
      </c>
    </row>
    <row r="92">
      <c r="A92" s="6">
        <f>Raw_Data!A92</f>
        <v/>
      </c>
      <c r="B92" s="7">
        <f>Raw_Data!B92</f>
        <v/>
      </c>
      <c r="C92" s="7">
        <f>Raw_Data!C92</f>
        <v/>
      </c>
      <c r="D92" s="7">
        <f>Raw_Data!D92</f>
        <v/>
      </c>
      <c r="E92" s="7">
        <f>Raw_Data!E92</f>
        <v/>
      </c>
      <c r="F92" s="7">
        <f>SUM(B92:D92)</f>
        <v/>
      </c>
      <c r="G92" s="8">
        <f>IFERROR(B92/F92,0)</f>
        <v/>
      </c>
      <c r="H92" s="8">
        <f>IFERROR(C92/F92,0)</f>
        <v/>
      </c>
      <c r="I92" s="8">
        <f>IFERROR(D92/F92,0)</f>
        <v/>
      </c>
      <c r="J92" s="9">
        <f>IFERROR(E92/F92,0)</f>
        <v/>
      </c>
      <c r="K92" s="9">
        <f>IFERROR((B92-AVERAGE($B$5:$B$204))/STDEV($B$5:$B$204),0)</f>
        <v/>
      </c>
      <c r="L92" s="9">
        <f>IFERROR((C92-AVERAGE($C$5:$C$204))/STDEV($C$5:$C$204),0)</f>
        <v/>
      </c>
      <c r="M92" s="9">
        <f>IFERROR((D92-AVERAGE($D$5:$D$204))/STDEV($D$5:$D$204),0)</f>
        <v/>
      </c>
      <c r="N92" s="9">
        <f>IFERROR((E92-AVERAGE($E$5:$E$204))/STDEV($E$5:$E$204),0)</f>
        <v/>
      </c>
      <c r="O92" s="9">
        <f>IFERROR((F92-AVERAGE($F$5:$F$204))/STDEV($F$5:$F$204),0)</f>
        <v/>
      </c>
      <c r="P92" s="6">
        <f>IF(OR(B92&lt;QUARTILE($B$5:$B$204,1)-1.5*(QUARTILE($B$5:$B$204,3)-QUARTILE($B$5:$B$204,1)),B92&gt;QUARTILE($B$5:$B$204,3)+1.5*(QUARTILE($B$5:$B$204,3)-QUARTILE($B$5:$B$204,1))),"Review","Within range")</f>
        <v/>
      </c>
      <c r="Q92" s="6">
        <f>IF(OR(C92&lt;QUARTILE($C$5:$C$204,1)-1.5*(QUARTILE($C$5:$C$204,3)-QUARTILE($C$5:$C$204,1)),C92&gt;QUARTILE($C$5:$C$204,3)+1.5*(QUARTILE($C$5:$C$204,3)-QUARTILE($C$5:$C$204,1))),"Review","Within range")</f>
        <v/>
      </c>
      <c r="R92" s="6">
        <f>IF(OR(D92&lt;QUARTILE($D$5:$D$204,1)-1.5*(QUARTILE($D$5:$D$204,3)-QUARTILE($D$5:$D$204,1)),D92&gt;QUARTILE($D$5:$D$204,3)+1.5*(QUARTILE($D$5:$D$204,3)-QUARTILE($D$5:$D$204,1))),"Review","Within range")</f>
        <v/>
      </c>
      <c r="S92" s="6">
        <f>IF(OR(E92&lt;QUARTILE($E$5:$E$204,1)-1.5*(QUARTILE($E$5:$E$204,3)-QUARTILE($E$5:$E$204,1)),E92&gt;QUARTILE($E$5:$E$204,3)+1.5*(QUARTILE($E$5:$E$204,3)-QUARTILE($E$5:$E$204,1))),"Review","Within range")</f>
        <v/>
      </c>
      <c r="T92" s="6">
        <f>IF(COUNTBLANK(A92:E92)&gt;0,"Missing value",IF(COUNTIF(B92:E92,"&lt;0")&gt;0,"Negative value",IF(COUNTIF($A$5:$A$204,A92)&gt;1,"Duplicate market ID",IF(OR(P92="Review",Q92="Review",R92="Review",S92="Review"),"Review outlier","OK"))))</f>
        <v/>
      </c>
    </row>
    <row r="93">
      <c r="A93" s="6">
        <f>Raw_Data!A93</f>
        <v/>
      </c>
      <c r="B93" s="7">
        <f>Raw_Data!B93</f>
        <v/>
      </c>
      <c r="C93" s="7">
        <f>Raw_Data!C93</f>
        <v/>
      </c>
      <c r="D93" s="7">
        <f>Raw_Data!D93</f>
        <v/>
      </c>
      <c r="E93" s="7">
        <f>Raw_Data!E93</f>
        <v/>
      </c>
      <c r="F93" s="7">
        <f>SUM(B93:D93)</f>
        <v/>
      </c>
      <c r="G93" s="8">
        <f>IFERROR(B93/F93,0)</f>
        <v/>
      </c>
      <c r="H93" s="8">
        <f>IFERROR(C93/F93,0)</f>
        <v/>
      </c>
      <c r="I93" s="8">
        <f>IFERROR(D93/F93,0)</f>
        <v/>
      </c>
      <c r="J93" s="9">
        <f>IFERROR(E93/F93,0)</f>
        <v/>
      </c>
      <c r="K93" s="9">
        <f>IFERROR((B93-AVERAGE($B$5:$B$204))/STDEV($B$5:$B$204),0)</f>
        <v/>
      </c>
      <c r="L93" s="9">
        <f>IFERROR((C93-AVERAGE($C$5:$C$204))/STDEV($C$5:$C$204),0)</f>
        <v/>
      </c>
      <c r="M93" s="9">
        <f>IFERROR((D93-AVERAGE($D$5:$D$204))/STDEV($D$5:$D$204),0)</f>
        <v/>
      </c>
      <c r="N93" s="9">
        <f>IFERROR((E93-AVERAGE($E$5:$E$204))/STDEV($E$5:$E$204),0)</f>
        <v/>
      </c>
      <c r="O93" s="9">
        <f>IFERROR((F93-AVERAGE($F$5:$F$204))/STDEV($F$5:$F$204),0)</f>
        <v/>
      </c>
      <c r="P93" s="6">
        <f>IF(OR(B93&lt;QUARTILE($B$5:$B$204,1)-1.5*(QUARTILE($B$5:$B$204,3)-QUARTILE($B$5:$B$204,1)),B93&gt;QUARTILE($B$5:$B$204,3)+1.5*(QUARTILE($B$5:$B$204,3)-QUARTILE($B$5:$B$204,1))),"Review","Within range")</f>
        <v/>
      </c>
      <c r="Q93" s="6">
        <f>IF(OR(C93&lt;QUARTILE($C$5:$C$204,1)-1.5*(QUARTILE($C$5:$C$204,3)-QUARTILE($C$5:$C$204,1)),C93&gt;QUARTILE($C$5:$C$204,3)+1.5*(QUARTILE($C$5:$C$204,3)-QUARTILE($C$5:$C$204,1))),"Review","Within range")</f>
        <v/>
      </c>
      <c r="R93" s="6">
        <f>IF(OR(D93&lt;QUARTILE($D$5:$D$204,1)-1.5*(QUARTILE($D$5:$D$204,3)-QUARTILE($D$5:$D$204,1)),D93&gt;QUARTILE($D$5:$D$204,3)+1.5*(QUARTILE($D$5:$D$204,3)-QUARTILE($D$5:$D$204,1))),"Review","Within range")</f>
        <v/>
      </c>
      <c r="S93" s="6">
        <f>IF(OR(E93&lt;QUARTILE($E$5:$E$204,1)-1.5*(QUARTILE($E$5:$E$204,3)-QUARTILE($E$5:$E$204,1)),E93&gt;QUARTILE($E$5:$E$204,3)+1.5*(QUARTILE($E$5:$E$204,3)-QUARTILE($E$5:$E$204,1))),"Review","Within range")</f>
        <v/>
      </c>
      <c r="T93" s="6">
        <f>IF(COUNTBLANK(A93:E93)&gt;0,"Missing value",IF(COUNTIF(B93:E93,"&lt;0")&gt;0,"Negative value",IF(COUNTIF($A$5:$A$204,A93)&gt;1,"Duplicate market ID",IF(OR(P93="Review",Q93="Review",R93="Review",S93="Review"),"Review outlier","OK"))))</f>
        <v/>
      </c>
    </row>
    <row r="94">
      <c r="A94" s="6">
        <f>Raw_Data!A94</f>
        <v/>
      </c>
      <c r="B94" s="7">
        <f>Raw_Data!B94</f>
        <v/>
      </c>
      <c r="C94" s="7">
        <f>Raw_Data!C94</f>
        <v/>
      </c>
      <c r="D94" s="7">
        <f>Raw_Data!D94</f>
        <v/>
      </c>
      <c r="E94" s="7">
        <f>Raw_Data!E94</f>
        <v/>
      </c>
      <c r="F94" s="7">
        <f>SUM(B94:D94)</f>
        <v/>
      </c>
      <c r="G94" s="8">
        <f>IFERROR(B94/F94,0)</f>
        <v/>
      </c>
      <c r="H94" s="8">
        <f>IFERROR(C94/F94,0)</f>
        <v/>
      </c>
      <c r="I94" s="8">
        <f>IFERROR(D94/F94,0)</f>
        <v/>
      </c>
      <c r="J94" s="9">
        <f>IFERROR(E94/F94,0)</f>
        <v/>
      </c>
      <c r="K94" s="9">
        <f>IFERROR((B94-AVERAGE($B$5:$B$204))/STDEV($B$5:$B$204),0)</f>
        <v/>
      </c>
      <c r="L94" s="9">
        <f>IFERROR((C94-AVERAGE($C$5:$C$204))/STDEV($C$5:$C$204),0)</f>
        <v/>
      </c>
      <c r="M94" s="9">
        <f>IFERROR((D94-AVERAGE($D$5:$D$204))/STDEV($D$5:$D$204),0)</f>
        <v/>
      </c>
      <c r="N94" s="9">
        <f>IFERROR((E94-AVERAGE($E$5:$E$204))/STDEV($E$5:$E$204),0)</f>
        <v/>
      </c>
      <c r="O94" s="9">
        <f>IFERROR((F94-AVERAGE($F$5:$F$204))/STDEV($F$5:$F$204),0)</f>
        <v/>
      </c>
      <c r="P94" s="6">
        <f>IF(OR(B94&lt;QUARTILE($B$5:$B$204,1)-1.5*(QUARTILE($B$5:$B$204,3)-QUARTILE($B$5:$B$204,1)),B94&gt;QUARTILE($B$5:$B$204,3)+1.5*(QUARTILE($B$5:$B$204,3)-QUARTILE($B$5:$B$204,1))),"Review","Within range")</f>
        <v/>
      </c>
      <c r="Q94" s="6">
        <f>IF(OR(C94&lt;QUARTILE($C$5:$C$204,1)-1.5*(QUARTILE($C$5:$C$204,3)-QUARTILE($C$5:$C$204,1)),C94&gt;QUARTILE($C$5:$C$204,3)+1.5*(QUARTILE($C$5:$C$204,3)-QUARTILE($C$5:$C$204,1))),"Review","Within range")</f>
        <v/>
      </c>
      <c r="R94" s="6">
        <f>IF(OR(D94&lt;QUARTILE($D$5:$D$204,1)-1.5*(QUARTILE($D$5:$D$204,3)-QUARTILE($D$5:$D$204,1)),D94&gt;QUARTILE($D$5:$D$204,3)+1.5*(QUARTILE($D$5:$D$204,3)-QUARTILE($D$5:$D$204,1))),"Review","Within range")</f>
        <v/>
      </c>
      <c r="S94" s="6">
        <f>IF(OR(E94&lt;QUARTILE($E$5:$E$204,1)-1.5*(QUARTILE($E$5:$E$204,3)-QUARTILE($E$5:$E$204,1)),E94&gt;QUARTILE($E$5:$E$204,3)+1.5*(QUARTILE($E$5:$E$204,3)-QUARTILE($E$5:$E$204,1))),"Review","Within range")</f>
        <v/>
      </c>
      <c r="T94" s="6">
        <f>IF(COUNTBLANK(A94:E94)&gt;0,"Missing value",IF(COUNTIF(B94:E94,"&lt;0")&gt;0,"Negative value",IF(COUNTIF($A$5:$A$204,A94)&gt;1,"Duplicate market ID",IF(OR(P94="Review",Q94="Review",R94="Review",S94="Review"),"Review outlier","OK"))))</f>
        <v/>
      </c>
    </row>
    <row r="95">
      <c r="A95" s="6">
        <f>Raw_Data!A95</f>
        <v/>
      </c>
      <c r="B95" s="7">
        <f>Raw_Data!B95</f>
        <v/>
      </c>
      <c r="C95" s="7">
        <f>Raw_Data!C95</f>
        <v/>
      </c>
      <c r="D95" s="7">
        <f>Raw_Data!D95</f>
        <v/>
      </c>
      <c r="E95" s="7">
        <f>Raw_Data!E95</f>
        <v/>
      </c>
      <c r="F95" s="7">
        <f>SUM(B95:D95)</f>
        <v/>
      </c>
      <c r="G95" s="8">
        <f>IFERROR(B95/F95,0)</f>
        <v/>
      </c>
      <c r="H95" s="8">
        <f>IFERROR(C95/F95,0)</f>
        <v/>
      </c>
      <c r="I95" s="8">
        <f>IFERROR(D95/F95,0)</f>
        <v/>
      </c>
      <c r="J95" s="9">
        <f>IFERROR(E95/F95,0)</f>
        <v/>
      </c>
      <c r="K95" s="9">
        <f>IFERROR((B95-AVERAGE($B$5:$B$204))/STDEV($B$5:$B$204),0)</f>
        <v/>
      </c>
      <c r="L95" s="9">
        <f>IFERROR((C95-AVERAGE($C$5:$C$204))/STDEV($C$5:$C$204),0)</f>
        <v/>
      </c>
      <c r="M95" s="9">
        <f>IFERROR((D95-AVERAGE($D$5:$D$204))/STDEV($D$5:$D$204),0)</f>
        <v/>
      </c>
      <c r="N95" s="9">
        <f>IFERROR((E95-AVERAGE($E$5:$E$204))/STDEV($E$5:$E$204),0)</f>
        <v/>
      </c>
      <c r="O95" s="9">
        <f>IFERROR((F95-AVERAGE($F$5:$F$204))/STDEV($F$5:$F$204),0)</f>
        <v/>
      </c>
      <c r="P95" s="6">
        <f>IF(OR(B95&lt;QUARTILE($B$5:$B$204,1)-1.5*(QUARTILE($B$5:$B$204,3)-QUARTILE($B$5:$B$204,1)),B95&gt;QUARTILE($B$5:$B$204,3)+1.5*(QUARTILE($B$5:$B$204,3)-QUARTILE($B$5:$B$204,1))),"Review","Within range")</f>
        <v/>
      </c>
      <c r="Q95" s="6">
        <f>IF(OR(C95&lt;QUARTILE($C$5:$C$204,1)-1.5*(QUARTILE($C$5:$C$204,3)-QUARTILE($C$5:$C$204,1)),C95&gt;QUARTILE($C$5:$C$204,3)+1.5*(QUARTILE($C$5:$C$204,3)-QUARTILE($C$5:$C$204,1))),"Review","Within range")</f>
        <v/>
      </c>
      <c r="R95" s="6">
        <f>IF(OR(D95&lt;QUARTILE($D$5:$D$204,1)-1.5*(QUARTILE($D$5:$D$204,3)-QUARTILE($D$5:$D$204,1)),D95&gt;QUARTILE($D$5:$D$204,3)+1.5*(QUARTILE($D$5:$D$204,3)-QUARTILE($D$5:$D$204,1))),"Review","Within range")</f>
        <v/>
      </c>
      <c r="S95" s="6">
        <f>IF(OR(E95&lt;QUARTILE($E$5:$E$204,1)-1.5*(QUARTILE($E$5:$E$204,3)-QUARTILE($E$5:$E$204,1)),E95&gt;QUARTILE($E$5:$E$204,3)+1.5*(QUARTILE($E$5:$E$204,3)-QUARTILE($E$5:$E$204,1))),"Review","Within range")</f>
        <v/>
      </c>
      <c r="T95" s="6">
        <f>IF(COUNTBLANK(A95:E95)&gt;0,"Missing value",IF(COUNTIF(B95:E95,"&lt;0")&gt;0,"Negative value",IF(COUNTIF($A$5:$A$204,A95)&gt;1,"Duplicate market ID",IF(OR(P95="Review",Q95="Review",R95="Review",S95="Review"),"Review outlier","OK"))))</f>
        <v/>
      </c>
    </row>
    <row r="96">
      <c r="A96" s="6">
        <f>Raw_Data!A96</f>
        <v/>
      </c>
      <c r="B96" s="7">
        <f>Raw_Data!B96</f>
        <v/>
      </c>
      <c r="C96" s="7">
        <f>Raw_Data!C96</f>
        <v/>
      </c>
      <c r="D96" s="7">
        <f>Raw_Data!D96</f>
        <v/>
      </c>
      <c r="E96" s="7">
        <f>Raw_Data!E96</f>
        <v/>
      </c>
      <c r="F96" s="7">
        <f>SUM(B96:D96)</f>
        <v/>
      </c>
      <c r="G96" s="8">
        <f>IFERROR(B96/F96,0)</f>
        <v/>
      </c>
      <c r="H96" s="8">
        <f>IFERROR(C96/F96,0)</f>
        <v/>
      </c>
      <c r="I96" s="8">
        <f>IFERROR(D96/F96,0)</f>
        <v/>
      </c>
      <c r="J96" s="9">
        <f>IFERROR(E96/F96,0)</f>
        <v/>
      </c>
      <c r="K96" s="9">
        <f>IFERROR((B96-AVERAGE($B$5:$B$204))/STDEV($B$5:$B$204),0)</f>
        <v/>
      </c>
      <c r="L96" s="9">
        <f>IFERROR((C96-AVERAGE($C$5:$C$204))/STDEV($C$5:$C$204),0)</f>
        <v/>
      </c>
      <c r="M96" s="9">
        <f>IFERROR((D96-AVERAGE($D$5:$D$204))/STDEV($D$5:$D$204),0)</f>
        <v/>
      </c>
      <c r="N96" s="9">
        <f>IFERROR((E96-AVERAGE($E$5:$E$204))/STDEV($E$5:$E$204),0)</f>
        <v/>
      </c>
      <c r="O96" s="9">
        <f>IFERROR((F96-AVERAGE($F$5:$F$204))/STDEV($F$5:$F$204),0)</f>
        <v/>
      </c>
      <c r="P96" s="6">
        <f>IF(OR(B96&lt;QUARTILE($B$5:$B$204,1)-1.5*(QUARTILE($B$5:$B$204,3)-QUARTILE($B$5:$B$204,1)),B96&gt;QUARTILE($B$5:$B$204,3)+1.5*(QUARTILE($B$5:$B$204,3)-QUARTILE($B$5:$B$204,1))),"Review","Within range")</f>
        <v/>
      </c>
      <c r="Q96" s="6">
        <f>IF(OR(C96&lt;QUARTILE($C$5:$C$204,1)-1.5*(QUARTILE($C$5:$C$204,3)-QUARTILE($C$5:$C$204,1)),C96&gt;QUARTILE($C$5:$C$204,3)+1.5*(QUARTILE($C$5:$C$204,3)-QUARTILE($C$5:$C$204,1))),"Review","Within range")</f>
        <v/>
      </c>
      <c r="R96" s="6">
        <f>IF(OR(D96&lt;QUARTILE($D$5:$D$204,1)-1.5*(QUARTILE($D$5:$D$204,3)-QUARTILE($D$5:$D$204,1)),D96&gt;QUARTILE($D$5:$D$204,3)+1.5*(QUARTILE($D$5:$D$204,3)-QUARTILE($D$5:$D$204,1))),"Review","Within range")</f>
        <v/>
      </c>
      <c r="S96" s="6">
        <f>IF(OR(E96&lt;QUARTILE($E$5:$E$204,1)-1.5*(QUARTILE($E$5:$E$204,3)-QUARTILE($E$5:$E$204,1)),E96&gt;QUARTILE($E$5:$E$204,3)+1.5*(QUARTILE($E$5:$E$204,3)-QUARTILE($E$5:$E$204,1))),"Review","Within range")</f>
        <v/>
      </c>
      <c r="T96" s="6">
        <f>IF(COUNTBLANK(A96:E96)&gt;0,"Missing value",IF(COUNTIF(B96:E96,"&lt;0")&gt;0,"Negative value",IF(COUNTIF($A$5:$A$204,A96)&gt;1,"Duplicate market ID",IF(OR(P96="Review",Q96="Review",R96="Review",S96="Review"),"Review outlier","OK"))))</f>
        <v/>
      </c>
    </row>
    <row r="97">
      <c r="A97" s="6">
        <f>Raw_Data!A97</f>
        <v/>
      </c>
      <c r="B97" s="7">
        <f>Raw_Data!B97</f>
        <v/>
      </c>
      <c r="C97" s="7">
        <f>Raw_Data!C97</f>
        <v/>
      </c>
      <c r="D97" s="7">
        <f>Raw_Data!D97</f>
        <v/>
      </c>
      <c r="E97" s="7">
        <f>Raw_Data!E97</f>
        <v/>
      </c>
      <c r="F97" s="7">
        <f>SUM(B97:D97)</f>
        <v/>
      </c>
      <c r="G97" s="8">
        <f>IFERROR(B97/F97,0)</f>
        <v/>
      </c>
      <c r="H97" s="8">
        <f>IFERROR(C97/F97,0)</f>
        <v/>
      </c>
      <c r="I97" s="8">
        <f>IFERROR(D97/F97,0)</f>
        <v/>
      </c>
      <c r="J97" s="9">
        <f>IFERROR(E97/F97,0)</f>
        <v/>
      </c>
      <c r="K97" s="9">
        <f>IFERROR((B97-AVERAGE($B$5:$B$204))/STDEV($B$5:$B$204),0)</f>
        <v/>
      </c>
      <c r="L97" s="9">
        <f>IFERROR((C97-AVERAGE($C$5:$C$204))/STDEV($C$5:$C$204),0)</f>
        <v/>
      </c>
      <c r="M97" s="9">
        <f>IFERROR((D97-AVERAGE($D$5:$D$204))/STDEV($D$5:$D$204),0)</f>
        <v/>
      </c>
      <c r="N97" s="9">
        <f>IFERROR((E97-AVERAGE($E$5:$E$204))/STDEV($E$5:$E$204),0)</f>
        <v/>
      </c>
      <c r="O97" s="9">
        <f>IFERROR((F97-AVERAGE($F$5:$F$204))/STDEV($F$5:$F$204),0)</f>
        <v/>
      </c>
      <c r="P97" s="6">
        <f>IF(OR(B97&lt;QUARTILE($B$5:$B$204,1)-1.5*(QUARTILE($B$5:$B$204,3)-QUARTILE($B$5:$B$204,1)),B97&gt;QUARTILE($B$5:$B$204,3)+1.5*(QUARTILE($B$5:$B$204,3)-QUARTILE($B$5:$B$204,1))),"Review","Within range")</f>
        <v/>
      </c>
      <c r="Q97" s="6">
        <f>IF(OR(C97&lt;QUARTILE($C$5:$C$204,1)-1.5*(QUARTILE($C$5:$C$204,3)-QUARTILE($C$5:$C$204,1)),C97&gt;QUARTILE($C$5:$C$204,3)+1.5*(QUARTILE($C$5:$C$204,3)-QUARTILE($C$5:$C$204,1))),"Review","Within range")</f>
        <v/>
      </c>
      <c r="R97" s="6">
        <f>IF(OR(D97&lt;QUARTILE($D$5:$D$204,1)-1.5*(QUARTILE($D$5:$D$204,3)-QUARTILE($D$5:$D$204,1)),D97&gt;QUARTILE($D$5:$D$204,3)+1.5*(QUARTILE($D$5:$D$204,3)-QUARTILE($D$5:$D$204,1))),"Review","Within range")</f>
        <v/>
      </c>
      <c r="S97" s="6">
        <f>IF(OR(E97&lt;QUARTILE($E$5:$E$204,1)-1.5*(QUARTILE($E$5:$E$204,3)-QUARTILE($E$5:$E$204,1)),E97&gt;QUARTILE($E$5:$E$204,3)+1.5*(QUARTILE($E$5:$E$204,3)-QUARTILE($E$5:$E$204,1))),"Review","Within range")</f>
        <v/>
      </c>
      <c r="T97" s="6">
        <f>IF(COUNTBLANK(A97:E97)&gt;0,"Missing value",IF(COUNTIF(B97:E97,"&lt;0")&gt;0,"Negative value",IF(COUNTIF($A$5:$A$204,A97)&gt;1,"Duplicate market ID",IF(OR(P97="Review",Q97="Review",R97="Review",S97="Review"),"Review outlier","OK"))))</f>
        <v/>
      </c>
    </row>
    <row r="98">
      <c r="A98" s="6">
        <f>Raw_Data!A98</f>
        <v/>
      </c>
      <c r="B98" s="7">
        <f>Raw_Data!B98</f>
        <v/>
      </c>
      <c r="C98" s="7">
        <f>Raw_Data!C98</f>
        <v/>
      </c>
      <c r="D98" s="7">
        <f>Raw_Data!D98</f>
        <v/>
      </c>
      <c r="E98" s="7">
        <f>Raw_Data!E98</f>
        <v/>
      </c>
      <c r="F98" s="7">
        <f>SUM(B98:D98)</f>
        <v/>
      </c>
      <c r="G98" s="8">
        <f>IFERROR(B98/F98,0)</f>
        <v/>
      </c>
      <c r="H98" s="8">
        <f>IFERROR(C98/F98,0)</f>
        <v/>
      </c>
      <c r="I98" s="8">
        <f>IFERROR(D98/F98,0)</f>
        <v/>
      </c>
      <c r="J98" s="9">
        <f>IFERROR(E98/F98,0)</f>
        <v/>
      </c>
      <c r="K98" s="9">
        <f>IFERROR((B98-AVERAGE($B$5:$B$204))/STDEV($B$5:$B$204),0)</f>
        <v/>
      </c>
      <c r="L98" s="9">
        <f>IFERROR((C98-AVERAGE($C$5:$C$204))/STDEV($C$5:$C$204),0)</f>
        <v/>
      </c>
      <c r="M98" s="9">
        <f>IFERROR((D98-AVERAGE($D$5:$D$204))/STDEV($D$5:$D$204),0)</f>
        <v/>
      </c>
      <c r="N98" s="9">
        <f>IFERROR((E98-AVERAGE($E$5:$E$204))/STDEV($E$5:$E$204),0)</f>
        <v/>
      </c>
      <c r="O98" s="9">
        <f>IFERROR((F98-AVERAGE($F$5:$F$204))/STDEV($F$5:$F$204),0)</f>
        <v/>
      </c>
      <c r="P98" s="6">
        <f>IF(OR(B98&lt;QUARTILE($B$5:$B$204,1)-1.5*(QUARTILE($B$5:$B$204,3)-QUARTILE($B$5:$B$204,1)),B98&gt;QUARTILE($B$5:$B$204,3)+1.5*(QUARTILE($B$5:$B$204,3)-QUARTILE($B$5:$B$204,1))),"Review","Within range")</f>
        <v/>
      </c>
      <c r="Q98" s="6">
        <f>IF(OR(C98&lt;QUARTILE($C$5:$C$204,1)-1.5*(QUARTILE($C$5:$C$204,3)-QUARTILE($C$5:$C$204,1)),C98&gt;QUARTILE($C$5:$C$204,3)+1.5*(QUARTILE($C$5:$C$204,3)-QUARTILE($C$5:$C$204,1))),"Review","Within range")</f>
        <v/>
      </c>
      <c r="R98" s="6">
        <f>IF(OR(D98&lt;QUARTILE($D$5:$D$204,1)-1.5*(QUARTILE($D$5:$D$204,3)-QUARTILE($D$5:$D$204,1)),D98&gt;QUARTILE($D$5:$D$204,3)+1.5*(QUARTILE($D$5:$D$204,3)-QUARTILE($D$5:$D$204,1))),"Review","Within range")</f>
        <v/>
      </c>
      <c r="S98" s="6">
        <f>IF(OR(E98&lt;QUARTILE($E$5:$E$204,1)-1.5*(QUARTILE($E$5:$E$204,3)-QUARTILE($E$5:$E$204,1)),E98&gt;QUARTILE($E$5:$E$204,3)+1.5*(QUARTILE($E$5:$E$204,3)-QUARTILE($E$5:$E$204,1))),"Review","Within range")</f>
        <v/>
      </c>
      <c r="T98" s="6">
        <f>IF(COUNTBLANK(A98:E98)&gt;0,"Missing value",IF(COUNTIF(B98:E98,"&lt;0")&gt;0,"Negative value",IF(COUNTIF($A$5:$A$204,A98)&gt;1,"Duplicate market ID",IF(OR(P98="Review",Q98="Review",R98="Review",S98="Review"),"Review outlier","OK"))))</f>
        <v/>
      </c>
    </row>
    <row r="99">
      <c r="A99" s="6">
        <f>Raw_Data!A99</f>
        <v/>
      </c>
      <c r="B99" s="7">
        <f>Raw_Data!B99</f>
        <v/>
      </c>
      <c r="C99" s="7">
        <f>Raw_Data!C99</f>
        <v/>
      </c>
      <c r="D99" s="7">
        <f>Raw_Data!D99</f>
        <v/>
      </c>
      <c r="E99" s="7">
        <f>Raw_Data!E99</f>
        <v/>
      </c>
      <c r="F99" s="7">
        <f>SUM(B99:D99)</f>
        <v/>
      </c>
      <c r="G99" s="8">
        <f>IFERROR(B99/F99,0)</f>
        <v/>
      </c>
      <c r="H99" s="8">
        <f>IFERROR(C99/F99,0)</f>
        <v/>
      </c>
      <c r="I99" s="8">
        <f>IFERROR(D99/F99,0)</f>
        <v/>
      </c>
      <c r="J99" s="9">
        <f>IFERROR(E99/F99,0)</f>
        <v/>
      </c>
      <c r="K99" s="9">
        <f>IFERROR((B99-AVERAGE($B$5:$B$204))/STDEV($B$5:$B$204),0)</f>
        <v/>
      </c>
      <c r="L99" s="9">
        <f>IFERROR((C99-AVERAGE($C$5:$C$204))/STDEV($C$5:$C$204),0)</f>
        <v/>
      </c>
      <c r="M99" s="9">
        <f>IFERROR((D99-AVERAGE($D$5:$D$204))/STDEV($D$5:$D$204),0)</f>
        <v/>
      </c>
      <c r="N99" s="9">
        <f>IFERROR((E99-AVERAGE($E$5:$E$204))/STDEV($E$5:$E$204),0)</f>
        <v/>
      </c>
      <c r="O99" s="9">
        <f>IFERROR((F99-AVERAGE($F$5:$F$204))/STDEV($F$5:$F$204),0)</f>
        <v/>
      </c>
      <c r="P99" s="6">
        <f>IF(OR(B99&lt;QUARTILE($B$5:$B$204,1)-1.5*(QUARTILE($B$5:$B$204,3)-QUARTILE($B$5:$B$204,1)),B99&gt;QUARTILE($B$5:$B$204,3)+1.5*(QUARTILE($B$5:$B$204,3)-QUARTILE($B$5:$B$204,1))),"Review","Within range")</f>
        <v/>
      </c>
      <c r="Q99" s="6">
        <f>IF(OR(C99&lt;QUARTILE($C$5:$C$204,1)-1.5*(QUARTILE($C$5:$C$204,3)-QUARTILE($C$5:$C$204,1)),C99&gt;QUARTILE($C$5:$C$204,3)+1.5*(QUARTILE($C$5:$C$204,3)-QUARTILE($C$5:$C$204,1))),"Review","Within range")</f>
        <v/>
      </c>
      <c r="R99" s="6">
        <f>IF(OR(D99&lt;QUARTILE($D$5:$D$204,1)-1.5*(QUARTILE($D$5:$D$204,3)-QUARTILE($D$5:$D$204,1)),D99&gt;QUARTILE($D$5:$D$204,3)+1.5*(QUARTILE($D$5:$D$204,3)-QUARTILE($D$5:$D$204,1))),"Review","Within range")</f>
        <v/>
      </c>
      <c r="S99" s="6">
        <f>IF(OR(E99&lt;QUARTILE($E$5:$E$204,1)-1.5*(QUARTILE($E$5:$E$204,3)-QUARTILE($E$5:$E$204,1)),E99&gt;QUARTILE($E$5:$E$204,3)+1.5*(QUARTILE($E$5:$E$204,3)-QUARTILE($E$5:$E$204,1))),"Review","Within range")</f>
        <v/>
      </c>
      <c r="T99" s="6">
        <f>IF(COUNTBLANK(A99:E99)&gt;0,"Missing value",IF(COUNTIF(B99:E99,"&lt;0")&gt;0,"Negative value",IF(COUNTIF($A$5:$A$204,A99)&gt;1,"Duplicate market ID",IF(OR(P99="Review",Q99="Review",R99="Review",S99="Review"),"Review outlier","OK"))))</f>
        <v/>
      </c>
    </row>
    <row r="100">
      <c r="A100" s="6">
        <f>Raw_Data!A100</f>
        <v/>
      </c>
      <c r="B100" s="7">
        <f>Raw_Data!B100</f>
        <v/>
      </c>
      <c r="C100" s="7">
        <f>Raw_Data!C100</f>
        <v/>
      </c>
      <c r="D100" s="7">
        <f>Raw_Data!D100</f>
        <v/>
      </c>
      <c r="E100" s="7">
        <f>Raw_Data!E100</f>
        <v/>
      </c>
      <c r="F100" s="7">
        <f>SUM(B100:D100)</f>
        <v/>
      </c>
      <c r="G100" s="8">
        <f>IFERROR(B100/F100,0)</f>
        <v/>
      </c>
      <c r="H100" s="8">
        <f>IFERROR(C100/F100,0)</f>
        <v/>
      </c>
      <c r="I100" s="8">
        <f>IFERROR(D100/F100,0)</f>
        <v/>
      </c>
      <c r="J100" s="9">
        <f>IFERROR(E100/F100,0)</f>
        <v/>
      </c>
      <c r="K100" s="9">
        <f>IFERROR((B100-AVERAGE($B$5:$B$204))/STDEV($B$5:$B$204),0)</f>
        <v/>
      </c>
      <c r="L100" s="9">
        <f>IFERROR((C100-AVERAGE($C$5:$C$204))/STDEV($C$5:$C$204),0)</f>
        <v/>
      </c>
      <c r="M100" s="9">
        <f>IFERROR((D100-AVERAGE($D$5:$D$204))/STDEV($D$5:$D$204),0)</f>
        <v/>
      </c>
      <c r="N100" s="9">
        <f>IFERROR((E100-AVERAGE($E$5:$E$204))/STDEV($E$5:$E$204),0)</f>
        <v/>
      </c>
      <c r="O100" s="9">
        <f>IFERROR((F100-AVERAGE($F$5:$F$204))/STDEV($F$5:$F$204),0)</f>
        <v/>
      </c>
      <c r="P100" s="6">
        <f>IF(OR(B100&lt;QUARTILE($B$5:$B$204,1)-1.5*(QUARTILE($B$5:$B$204,3)-QUARTILE($B$5:$B$204,1)),B100&gt;QUARTILE($B$5:$B$204,3)+1.5*(QUARTILE($B$5:$B$204,3)-QUARTILE($B$5:$B$204,1))),"Review","Within range")</f>
        <v/>
      </c>
      <c r="Q100" s="6">
        <f>IF(OR(C100&lt;QUARTILE($C$5:$C$204,1)-1.5*(QUARTILE($C$5:$C$204,3)-QUARTILE($C$5:$C$204,1)),C100&gt;QUARTILE($C$5:$C$204,3)+1.5*(QUARTILE($C$5:$C$204,3)-QUARTILE($C$5:$C$204,1))),"Review","Within range")</f>
        <v/>
      </c>
      <c r="R100" s="6">
        <f>IF(OR(D100&lt;QUARTILE($D$5:$D$204,1)-1.5*(QUARTILE($D$5:$D$204,3)-QUARTILE($D$5:$D$204,1)),D100&gt;QUARTILE($D$5:$D$204,3)+1.5*(QUARTILE($D$5:$D$204,3)-QUARTILE($D$5:$D$204,1))),"Review","Within range")</f>
        <v/>
      </c>
      <c r="S100" s="6">
        <f>IF(OR(E100&lt;QUARTILE($E$5:$E$204,1)-1.5*(QUARTILE($E$5:$E$204,3)-QUARTILE($E$5:$E$204,1)),E100&gt;QUARTILE($E$5:$E$204,3)+1.5*(QUARTILE($E$5:$E$204,3)-QUARTILE($E$5:$E$204,1))),"Review","Within range")</f>
        <v/>
      </c>
      <c r="T100" s="6">
        <f>IF(COUNTBLANK(A100:E100)&gt;0,"Missing value",IF(COUNTIF(B100:E100,"&lt;0")&gt;0,"Negative value",IF(COUNTIF($A$5:$A$204,A100)&gt;1,"Duplicate market ID",IF(OR(P100="Review",Q100="Review",R100="Review",S100="Review"),"Review outlier","OK"))))</f>
        <v/>
      </c>
    </row>
    <row r="101">
      <c r="A101" s="6">
        <f>Raw_Data!A101</f>
        <v/>
      </c>
      <c r="B101" s="7">
        <f>Raw_Data!B101</f>
        <v/>
      </c>
      <c r="C101" s="7">
        <f>Raw_Data!C101</f>
        <v/>
      </c>
      <c r="D101" s="7">
        <f>Raw_Data!D101</f>
        <v/>
      </c>
      <c r="E101" s="7">
        <f>Raw_Data!E101</f>
        <v/>
      </c>
      <c r="F101" s="7">
        <f>SUM(B101:D101)</f>
        <v/>
      </c>
      <c r="G101" s="8">
        <f>IFERROR(B101/F101,0)</f>
        <v/>
      </c>
      <c r="H101" s="8">
        <f>IFERROR(C101/F101,0)</f>
        <v/>
      </c>
      <c r="I101" s="8">
        <f>IFERROR(D101/F101,0)</f>
        <v/>
      </c>
      <c r="J101" s="9">
        <f>IFERROR(E101/F101,0)</f>
        <v/>
      </c>
      <c r="K101" s="9">
        <f>IFERROR((B101-AVERAGE($B$5:$B$204))/STDEV($B$5:$B$204),0)</f>
        <v/>
      </c>
      <c r="L101" s="9">
        <f>IFERROR((C101-AVERAGE($C$5:$C$204))/STDEV($C$5:$C$204),0)</f>
        <v/>
      </c>
      <c r="M101" s="9">
        <f>IFERROR((D101-AVERAGE($D$5:$D$204))/STDEV($D$5:$D$204),0)</f>
        <v/>
      </c>
      <c r="N101" s="9">
        <f>IFERROR((E101-AVERAGE($E$5:$E$204))/STDEV($E$5:$E$204),0)</f>
        <v/>
      </c>
      <c r="O101" s="9">
        <f>IFERROR((F101-AVERAGE($F$5:$F$204))/STDEV($F$5:$F$204),0)</f>
        <v/>
      </c>
      <c r="P101" s="6">
        <f>IF(OR(B101&lt;QUARTILE($B$5:$B$204,1)-1.5*(QUARTILE($B$5:$B$204,3)-QUARTILE($B$5:$B$204,1)),B101&gt;QUARTILE($B$5:$B$204,3)+1.5*(QUARTILE($B$5:$B$204,3)-QUARTILE($B$5:$B$204,1))),"Review","Within range")</f>
        <v/>
      </c>
      <c r="Q101" s="6">
        <f>IF(OR(C101&lt;QUARTILE($C$5:$C$204,1)-1.5*(QUARTILE($C$5:$C$204,3)-QUARTILE($C$5:$C$204,1)),C101&gt;QUARTILE($C$5:$C$204,3)+1.5*(QUARTILE($C$5:$C$204,3)-QUARTILE($C$5:$C$204,1))),"Review","Within range")</f>
        <v/>
      </c>
      <c r="R101" s="6">
        <f>IF(OR(D101&lt;QUARTILE($D$5:$D$204,1)-1.5*(QUARTILE($D$5:$D$204,3)-QUARTILE($D$5:$D$204,1)),D101&gt;QUARTILE($D$5:$D$204,3)+1.5*(QUARTILE($D$5:$D$204,3)-QUARTILE($D$5:$D$204,1))),"Review","Within range")</f>
        <v/>
      </c>
      <c r="S101" s="6">
        <f>IF(OR(E101&lt;QUARTILE($E$5:$E$204,1)-1.5*(QUARTILE($E$5:$E$204,3)-QUARTILE($E$5:$E$204,1)),E101&gt;QUARTILE($E$5:$E$204,3)+1.5*(QUARTILE($E$5:$E$204,3)-QUARTILE($E$5:$E$204,1))),"Review","Within range")</f>
        <v/>
      </c>
      <c r="T101" s="6">
        <f>IF(COUNTBLANK(A101:E101)&gt;0,"Missing value",IF(COUNTIF(B101:E101,"&lt;0")&gt;0,"Negative value",IF(COUNTIF($A$5:$A$204,A101)&gt;1,"Duplicate market ID",IF(OR(P101="Review",Q101="Review",R101="Review",S101="Review"),"Review outlier","OK"))))</f>
        <v/>
      </c>
    </row>
    <row r="102">
      <c r="A102" s="6">
        <f>Raw_Data!A102</f>
        <v/>
      </c>
      <c r="B102" s="7">
        <f>Raw_Data!B102</f>
        <v/>
      </c>
      <c r="C102" s="7">
        <f>Raw_Data!C102</f>
        <v/>
      </c>
      <c r="D102" s="7">
        <f>Raw_Data!D102</f>
        <v/>
      </c>
      <c r="E102" s="7">
        <f>Raw_Data!E102</f>
        <v/>
      </c>
      <c r="F102" s="7">
        <f>SUM(B102:D102)</f>
        <v/>
      </c>
      <c r="G102" s="8">
        <f>IFERROR(B102/F102,0)</f>
        <v/>
      </c>
      <c r="H102" s="8">
        <f>IFERROR(C102/F102,0)</f>
        <v/>
      </c>
      <c r="I102" s="8">
        <f>IFERROR(D102/F102,0)</f>
        <v/>
      </c>
      <c r="J102" s="9">
        <f>IFERROR(E102/F102,0)</f>
        <v/>
      </c>
      <c r="K102" s="9">
        <f>IFERROR((B102-AVERAGE($B$5:$B$204))/STDEV($B$5:$B$204),0)</f>
        <v/>
      </c>
      <c r="L102" s="9">
        <f>IFERROR((C102-AVERAGE($C$5:$C$204))/STDEV($C$5:$C$204),0)</f>
        <v/>
      </c>
      <c r="M102" s="9">
        <f>IFERROR((D102-AVERAGE($D$5:$D$204))/STDEV($D$5:$D$204),0)</f>
        <v/>
      </c>
      <c r="N102" s="9">
        <f>IFERROR((E102-AVERAGE($E$5:$E$204))/STDEV($E$5:$E$204),0)</f>
        <v/>
      </c>
      <c r="O102" s="9">
        <f>IFERROR((F102-AVERAGE($F$5:$F$204))/STDEV($F$5:$F$204),0)</f>
        <v/>
      </c>
      <c r="P102" s="6">
        <f>IF(OR(B102&lt;QUARTILE($B$5:$B$204,1)-1.5*(QUARTILE($B$5:$B$204,3)-QUARTILE($B$5:$B$204,1)),B102&gt;QUARTILE($B$5:$B$204,3)+1.5*(QUARTILE($B$5:$B$204,3)-QUARTILE($B$5:$B$204,1))),"Review","Within range")</f>
        <v/>
      </c>
      <c r="Q102" s="6">
        <f>IF(OR(C102&lt;QUARTILE($C$5:$C$204,1)-1.5*(QUARTILE($C$5:$C$204,3)-QUARTILE($C$5:$C$204,1)),C102&gt;QUARTILE($C$5:$C$204,3)+1.5*(QUARTILE($C$5:$C$204,3)-QUARTILE($C$5:$C$204,1))),"Review","Within range")</f>
        <v/>
      </c>
      <c r="R102" s="6">
        <f>IF(OR(D102&lt;QUARTILE($D$5:$D$204,1)-1.5*(QUARTILE($D$5:$D$204,3)-QUARTILE($D$5:$D$204,1)),D102&gt;QUARTILE($D$5:$D$204,3)+1.5*(QUARTILE($D$5:$D$204,3)-QUARTILE($D$5:$D$204,1))),"Review","Within range")</f>
        <v/>
      </c>
      <c r="S102" s="6">
        <f>IF(OR(E102&lt;QUARTILE($E$5:$E$204,1)-1.5*(QUARTILE($E$5:$E$204,3)-QUARTILE($E$5:$E$204,1)),E102&gt;QUARTILE($E$5:$E$204,3)+1.5*(QUARTILE($E$5:$E$204,3)-QUARTILE($E$5:$E$204,1))),"Review","Within range")</f>
        <v/>
      </c>
      <c r="T102" s="6">
        <f>IF(COUNTBLANK(A102:E102)&gt;0,"Missing value",IF(COUNTIF(B102:E102,"&lt;0")&gt;0,"Negative value",IF(COUNTIF($A$5:$A$204,A102)&gt;1,"Duplicate market ID",IF(OR(P102="Review",Q102="Review",R102="Review",S102="Review"),"Review outlier","OK"))))</f>
        <v/>
      </c>
    </row>
    <row r="103">
      <c r="A103" s="6">
        <f>Raw_Data!A103</f>
        <v/>
      </c>
      <c r="B103" s="7">
        <f>Raw_Data!B103</f>
        <v/>
      </c>
      <c r="C103" s="7">
        <f>Raw_Data!C103</f>
        <v/>
      </c>
      <c r="D103" s="7">
        <f>Raw_Data!D103</f>
        <v/>
      </c>
      <c r="E103" s="7">
        <f>Raw_Data!E103</f>
        <v/>
      </c>
      <c r="F103" s="7">
        <f>SUM(B103:D103)</f>
        <v/>
      </c>
      <c r="G103" s="8">
        <f>IFERROR(B103/F103,0)</f>
        <v/>
      </c>
      <c r="H103" s="8">
        <f>IFERROR(C103/F103,0)</f>
        <v/>
      </c>
      <c r="I103" s="8">
        <f>IFERROR(D103/F103,0)</f>
        <v/>
      </c>
      <c r="J103" s="9">
        <f>IFERROR(E103/F103,0)</f>
        <v/>
      </c>
      <c r="K103" s="9">
        <f>IFERROR((B103-AVERAGE($B$5:$B$204))/STDEV($B$5:$B$204),0)</f>
        <v/>
      </c>
      <c r="L103" s="9">
        <f>IFERROR((C103-AVERAGE($C$5:$C$204))/STDEV($C$5:$C$204),0)</f>
        <v/>
      </c>
      <c r="M103" s="9">
        <f>IFERROR((D103-AVERAGE($D$5:$D$204))/STDEV($D$5:$D$204),0)</f>
        <v/>
      </c>
      <c r="N103" s="9">
        <f>IFERROR((E103-AVERAGE($E$5:$E$204))/STDEV($E$5:$E$204),0)</f>
        <v/>
      </c>
      <c r="O103" s="9">
        <f>IFERROR((F103-AVERAGE($F$5:$F$204))/STDEV($F$5:$F$204),0)</f>
        <v/>
      </c>
      <c r="P103" s="6">
        <f>IF(OR(B103&lt;QUARTILE($B$5:$B$204,1)-1.5*(QUARTILE($B$5:$B$204,3)-QUARTILE($B$5:$B$204,1)),B103&gt;QUARTILE($B$5:$B$204,3)+1.5*(QUARTILE($B$5:$B$204,3)-QUARTILE($B$5:$B$204,1))),"Review","Within range")</f>
        <v/>
      </c>
      <c r="Q103" s="6">
        <f>IF(OR(C103&lt;QUARTILE($C$5:$C$204,1)-1.5*(QUARTILE($C$5:$C$204,3)-QUARTILE($C$5:$C$204,1)),C103&gt;QUARTILE($C$5:$C$204,3)+1.5*(QUARTILE($C$5:$C$204,3)-QUARTILE($C$5:$C$204,1))),"Review","Within range")</f>
        <v/>
      </c>
      <c r="R103" s="6">
        <f>IF(OR(D103&lt;QUARTILE($D$5:$D$204,1)-1.5*(QUARTILE($D$5:$D$204,3)-QUARTILE($D$5:$D$204,1)),D103&gt;QUARTILE($D$5:$D$204,3)+1.5*(QUARTILE($D$5:$D$204,3)-QUARTILE($D$5:$D$204,1))),"Review","Within range")</f>
        <v/>
      </c>
      <c r="S103" s="6">
        <f>IF(OR(E103&lt;QUARTILE($E$5:$E$204,1)-1.5*(QUARTILE($E$5:$E$204,3)-QUARTILE($E$5:$E$204,1)),E103&gt;QUARTILE($E$5:$E$204,3)+1.5*(QUARTILE($E$5:$E$204,3)-QUARTILE($E$5:$E$204,1))),"Review","Within range")</f>
        <v/>
      </c>
      <c r="T103" s="6">
        <f>IF(COUNTBLANK(A103:E103)&gt;0,"Missing value",IF(COUNTIF(B103:E103,"&lt;0")&gt;0,"Negative value",IF(COUNTIF($A$5:$A$204,A103)&gt;1,"Duplicate market ID",IF(OR(P103="Review",Q103="Review",R103="Review",S103="Review"),"Review outlier","OK"))))</f>
        <v/>
      </c>
    </row>
    <row r="104">
      <c r="A104" s="6">
        <f>Raw_Data!A104</f>
        <v/>
      </c>
      <c r="B104" s="7">
        <f>Raw_Data!B104</f>
        <v/>
      </c>
      <c r="C104" s="7">
        <f>Raw_Data!C104</f>
        <v/>
      </c>
      <c r="D104" s="7">
        <f>Raw_Data!D104</f>
        <v/>
      </c>
      <c r="E104" s="7">
        <f>Raw_Data!E104</f>
        <v/>
      </c>
      <c r="F104" s="7">
        <f>SUM(B104:D104)</f>
        <v/>
      </c>
      <c r="G104" s="8">
        <f>IFERROR(B104/F104,0)</f>
        <v/>
      </c>
      <c r="H104" s="8">
        <f>IFERROR(C104/F104,0)</f>
        <v/>
      </c>
      <c r="I104" s="8">
        <f>IFERROR(D104/F104,0)</f>
        <v/>
      </c>
      <c r="J104" s="9">
        <f>IFERROR(E104/F104,0)</f>
        <v/>
      </c>
      <c r="K104" s="9">
        <f>IFERROR((B104-AVERAGE($B$5:$B$204))/STDEV($B$5:$B$204),0)</f>
        <v/>
      </c>
      <c r="L104" s="9">
        <f>IFERROR((C104-AVERAGE($C$5:$C$204))/STDEV($C$5:$C$204),0)</f>
        <v/>
      </c>
      <c r="M104" s="9">
        <f>IFERROR((D104-AVERAGE($D$5:$D$204))/STDEV($D$5:$D$204),0)</f>
        <v/>
      </c>
      <c r="N104" s="9">
        <f>IFERROR((E104-AVERAGE($E$5:$E$204))/STDEV($E$5:$E$204),0)</f>
        <v/>
      </c>
      <c r="O104" s="9">
        <f>IFERROR((F104-AVERAGE($F$5:$F$204))/STDEV($F$5:$F$204),0)</f>
        <v/>
      </c>
      <c r="P104" s="6">
        <f>IF(OR(B104&lt;QUARTILE($B$5:$B$204,1)-1.5*(QUARTILE($B$5:$B$204,3)-QUARTILE($B$5:$B$204,1)),B104&gt;QUARTILE($B$5:$B$204,3)+1.5*(QUARTILE($B$5:$B$204,3)-QUARTILE($B$5:$B$204,1))),"Review","Within range")</f>
        <v/>
      </c>
      <c r="Q104" s="6">
        <f>IF(OR(C104&lt;QUARTILE($C$5:$C$204,1)-1.5*(QUARTILE($C$5:$C$204,3)-QUARTILE($C$5:$C$204,1)),C104&gt;QUARTILE($C$5:$C$204,3)+1.5*(QUARTILE($C$5:$C$204,3)-QUARTILE($C$5:$C$204,1))),"Review","Within range")</f>
        <v/>
      </c>
      <c r="R104" s="6">
        <f>IF(OR(D104&lt;QUARTILE($D$5:$D$204,1)-1.5*(QUARTILE($D$5:$D$204,3)-QUARTILE($D$5:$D$204,1)),D104&gt;QUARTILE($D$5:$D$204,3)+1.5*(QUARTILE($D$5:$D$204,3)-QUARTILE($D$5:$D$204,1))),"Review","Within range")</f>
        <v/>
      </c>
      <c r="S104" s="6">
        <f>IF(OR(E104&lt;QUARTILE($E$5:$E$204,1)-1.5*(QUARTILE($E$5:$E$204,3)-QUARTILE($E$5:$E$204,1)),E104&gt;QUARTILE($E$5:$E$204,3)+1.5*(QUARTILE($E$5:$E$204,3)-QUARTILE($E$5:$E$204,1))),"Review","Within range")</f>
        <v/>
      </c>
      <c r="T104" s="6">
        <f>IF(COUNTBLANK(A104:E104)&gt;0,"Missing value",IF(COUNTIF(B104:E104,"&lt;0")&gt;0,"Negative value",IF(COUNTIF($A$5:$A$204,A104)&gt;1,"Duplicate market ID",IF(OR(P104="Review",Q104="Review",R104="Review",S104="Review"),"Review outlier","OK"))))</f>
        <v/>
      </c>
    </row>
    <row r="105">
      <c r="A105" s="6">
        <f>Raw_Data!A105</f>
        <v/>
      </c>
      <c r="B105" s="7">
        <f>Raw_Data!B105</f>
        <v/>
      </c>
      <c r="C105" s="7">
        <f>Raw_Data!C105</f>
        <v/>
      </c>
      <c r="D105" s="7">
        <f>Raw_Data!D105</f>
        <v/>
      </c>
      <c r="E105" s="7">
        <f>Raw_Data!E105</f>
        <v/>
      </c>
      <c r="F105" s="7">
        <f>SUM(B105:D105)</f>
        <v/>
      </c>
      <c r="G105" s="8">
        <f>IFERROR(B105/F105,0)</f>
        <v/>
      </c>
      <c r="H105" s="8">
        <f>IFERROR(C105/F105,0)</f>
        <v/>
      </c>
      <c r="I105" s="8">
        <f>IFERROR(D105/F105,0)</f>
        <v/>
      </c>
      <c r="J105" s="9">
        <f>IFERROR(E105/F105,0)</f>
        <v/>
      </c>
      <c r="K105" s="9">
        <f>IFERROR((B105-AVERAGE($B$5:$B$204))/STDEV($B$5:$B$204),0)</f>
        <v/>
      </c>
      <c r="L105" s="9">
        <f>IFERROR((C105-AVERAGE($C$5:$C$204))/STDEV($C$5:$C$204),0)</f>
        <v/>
      </c>
      <c r="M105" s="9">
        <f>IFERROR((D105-AVERAGE($D$5:$D$204))/STDEV($D$5:$D$204),0)</f>
        <v/>
      </c>
      <c r="N105" s="9">
        <f>IFERROR((E105-AVERAGE($E$5:$E$204))/STDEV($E$5:$E$204),0)</f>
        <v/>
      </c>
      <c r="O105" s="9">
        <f>IFERROR((F105-AVERAGE($F$5:$F$204))/STDEV($F$5:$F$204),0)</f>
        <v/>
      </c>
      <c r="P105" s="6">
        <f>IF(OR(B105&lt;QUARTILE($B$5:$B$204,1)-1.5*(QUARTILE($B$5:$B$204,3)-QUARTILE($B$5:$B$204,1)),B105&gt;QUARTILE($B$5:$B$204,3)+1.5*(QUARTILE($B$5:$B$204,3)-QUARTILE($B$5:$B$204,1))),"Review","Within range")</f>
        <v/>
      </c>
      <c r="Q105" s="6">
        <f>IF(OR(C105&lt;QUARTILE($C$5:$C$204,1)-1.5*(QUARTILE($C$5:$C$204,3)-QUARTILE($C$5:$C$204,1)),C105&gt;QUARTILE($C$5:$C$204,3)+1.5*(QUARTILE($C$5:$C$204,3)-QUARTILE($C$5:$C$204,1))),"Review","Within range")</f>
        <v/>
      </c>
      <c r="R105" s="6">
        <f>IF(OR(D105&lt;QUARTILE($D$5:$D$204,1)-1.5*(QUARTILE($D$5:$D$204,3)-QUARTILE($D$5:$D$204,1)),D105&gt;QUARTILE($D$5:$D$204,3)+1.5*(QUARTILE($D$5:$D$204,3)-QUARTILE($D$5:$D$204,1))),"Review","Within range")</f>
        <v/>
      </c>
      <c r="S105" s="6">
        <f>IF(OR(E105&lt;QUARTILE($E$5:$E$204,1)-1.5*(QUARTILE($E$5:$E$204,3)-QUARTILE($E$5:$E$204,1)),E105&gt;QUARTILE($E$5:$E$204,3)+1.5*(QUARTILE($E$5:$E$204,3)-QUARTILE($E$5:$E$204,1))),"Review","Within range")</f>
        <v/>
      </c>
      <c r="T105" s="6">
        <f>IF(COUNTBLANK(A105:E105)&gt;0,"Missing value",IF(COUNTIF(B105:E105,"&lt;0")&gt;0,"Negative value",IF(COUNTIF($A$5:$A$204,A105)&gt;1,"Duplicate market ID",IF(OR(P105="Review",Q105="Review",R105="Review",S105="Review"),"Review outlier","OK"))))</f>
        <v/>
      </c>
    </row>
    <row r="106">
      <c r="A106" s="6">
        <f>Raw_Data!A106</f>
        <v/>
      </c>
      <c r="B106" s="7">
        <f>Raw_Data!B106</f>
        <v/>
      </c>
      <c r="C106" s="7">
        <f>Raw_Data!C106</f>
        <v/>
      </c>
      <c r="D106" s="7">
        <f>Raw_Data!D106</f>
        <v/>
      </c>
      <c r="E106" s="7">
        <f>Raw_Data!E106</f>
        <v/>
      </c>
      <c r="F106" s="7">
        <f>SUM(B106:D106)</f>
        <v/>
      </c>
      <c r="G106" s="8">
        <f>IFERROR(B106/F106,0)</f>
        <v/>
      </c>
      <c r="H106" s="8">
        <f>IFERROR(C106/F106,0)</f>
        <v/>
      </c>
      <c r="I106" s="8">
        <f>IFERROR(D106/F106,0)</f>
        <v/>
      </c>
      <c r="J106" s="9">
        <f>IFERROR(E106/F106,0)</f>
        <v/>
      </c>
      <c r="K106" s="9">
        <f>IFERROR((B106-AVERAGE($B$5:$B$204))/STDEV($B$5:$B$204),0)</f>
        <v/>
      </c>
      <c r="L106" s="9">
        <f>IFERROR((C106-AVERAGE($C$5:$C$204))/STDEV($C$5:$C$204),0)</f>
        <v/>
      </c>
      <c r="M106" s="9">
        <f>IFERROR((D106-AVERAGE($D$5:$D$204))/STDEV($D$5:$D$204),0)</f>
        <v/>
      </c>
      <c r="N106" s="9">
        <f>IFERROR((E106-AVERAGE($E$5:$E$204))/STDEV($E$5:$E$204),0)</f>
        <v/>
      </c>
      <c r="O106" s="9">
        <f>IFERROR((F106-AVERAGE($F$5:$F$204))/STDEV($F$5:$F$204),0)</f>
        <v/>
      </c>
      <c r="P106" s="6">
        <f>IF(OR(B106&lt;QUARTILE($B$5:$B$204,1)-1.5*(QUARTILE($B$5:$B$204,3)-QUARTILE($B$5:$B$204,1)),B106&gt;QUARTILE($B$5:$B$204,3)+1.5*(QUARTILE($B$5:$B$204,3)-QUARTILE($B$5:$B$204,1))),"Review","Within range")</f>
        <v/>
      </c>
      <c r="Q106" s="6">
        <f>IF(OR(C106&lt;QUARTILE($C$5:$C$204,1)-1.5*(QUARTILE($C$5:$C$204,3)-QUARTILE($C$5:$C$204,1)),C106&gt;QUARTILE($C$5:$C$204,3)+1.5*(QUARTILE($C$5:$C$204,3)-QUARTILE($C$5:$C$204,1))),"Review","Within range")</f>
        <v/>
      </c>
      <c r="R106" s="6">
        <f>IF(OR(D106&lt;QUARTILE($D$5:$D$204,1)-1.5*(QUARTILE($D$5:$D$204,3)-QUARTILE($D$5:$D$204,1)),D106&gt;QUARTILE($D$5:$D$204,3)+1.5*(QUARTILE($D$5:$D$204,3)-QUARTILE($D$5:$D$204,1))),"Review","Within range")</f>
        <v/>
      </c>
      <c r="S106" s="6">
        <f>IF(OR(E106&lt;QUARTILE($E$5:$E$204,1)-1.5*(QUARTILE($E$5:$E$204,3)-QUARTILE($E$5:$E$204,1)),E106&gt;QUARTILE($E$5:$E$204,3)+1.5*(QUARTILE($E$5:$E$204,3)-QUARTILE($E$5:$E$204,1))),"Review","Within range")</f>
        <v/>
      </c>
      <c r="T106" s="6">
        <f>IF(COUNTBLANK(A106:E106)&gt;0,"Missing value",IF(COUNTIF(B106:E106,"&lt;0")&gt;0,"Negative value",IF(COUNTIF($A$5:$A$204,A106)&gt;1,"Duplicate market ID",IF(OR(P106="Review",Q106="Review",R106="Review",S106="Review"),"Review outlier","OK"))))</f>
        <v/>
      </c>
    </row>
    <row r="107">
      <c r="A107" s="6">
        <f>Raw_Data!A107</f>
        <v/>
      </c>
      <c r="B107" s="7">
        <f>Raw_Data!B107</f>
        <v/>
      </c>
      <c r="C107" s="7">
        <f>Raw_Data!C107</f>
        <v/>
      </c>
      <c r="D107" s="7">
        <f>Raw_Data!D107</f>
        <v/>
      </c>
      <c r="E107" s="7">
        <f>Raw_Data!E107</f>
        <v/>
      </c>
      <c r="F107" s="7">
        <f>SUM(B107:D107)</f>
        <v/>
      </c>
      <c r="G107" s="8">
        <f>IFERROR(B107/F107,0)</f>
        <v/>
      </c>
      <c r="H107" s="8">
        <f>IFERROR(C107/F107,0)</f>
        <v/>
      </c>
      <c r="I107" s="8">
        <f>IFERROR(D107/F107,0)</f>
        <v/>
      </c>
      <c r="J107" s="9">
        <f>IFERROR(E107/F107,0)</f>
        <v/>
      </c>
      <c r="K107" s="9">
        <f>IFERROR((B107-AVERAGE($B$5:$B$204))/STDEV($B$5:$B$204),0)</f>
        <v/>
      </c>
      <c r="L107" s="9">
        <f>IFERROR((C107-AVERAGE($C$5:$C$204))/STDEV($C$5:$C$204),0)</f>
        <v/>
      </c>
      <c r="M107" s="9">
        <f>IFERROR((D107-AVERAGE($D$5:$D$204))/STDEV($D$5:$D$204),0)</f>
        <v/>
      </c>
      <c r="N107" s="9">
        <f>IFERROR((E107-AVERAGE($E$5:$E$204))/STDEV($E$5:$E$204),0)</f>
        <v/>
      </c>
      <c r="O107" s="9">
        <f>IFERROR((F107-AVERAGE($F$5:$F$204))/STDEV($F$5:$F$204),0)</f>
        <v/>
      </c>
      <c r="P107" s="6">
        <f>IF(OR(B107&lt;QUARTILE($B$5:$B$204,1)-1.5*(QUARTILE($B$5:$B$204,3)-QUARTILE($B$5:$B$204,1)),B107&gt;QUARTILE($B$5:$B$204,3)+1.5*(QUARTILE($B$5:$B$204,3)-QUARTILE($B$5:$B$204,1))),"Review","Within range")</f>
        <v/>
      </c>
      <c r="Q107" s="6">
        <f>IF(OR(C107&lt;QUARTILE($C$5:$C$204,1)-1.5*(QUARTILE($C$5:$C$204,3)-QUARTILE($C$5:$C$204,1)),C107&gt;QUARTILE($C$5:$C$204,3)+1.5*(QUARTILE($C$5:$C$204,3)-QUARTILE($C$5:$C$204,1))),"Review","Within range")</f>
        <v/>
      </c>
      <c r="R107" s="6">
        <f>IF(OR(D107&lt;QUARTILE($D$5:$D$204,1)-1.5*(QUARTILE($D$5:$D$204,3)-QUARTILE($D$5:$D$204,1)),D107&gt;QUARTILE($D$5:$D$204,3)+1.5*(QUARTILE($D$5:$D$204,3)-QUARTILE($D$5:$D$204,1))),"Review","Within range")</f>
        <v/>
      </c>
      <c r="S107" s="6">
        <f>IF(OR(E107&lt;QUARTILE($E$5:$E$204,1)-1.5*(QUARTILE($E$5:$E$204,3)-QUARTILE($E$5:$E$204,1)),E107&gt;QUARTILE($E$5:$E$204,3)+1.5*(QUARTILE($E$5:$E$204,3)-QUARTILE($E$5:$E$204,1))),"Review","Within range")</f>
        <v/>
      </c>
      <c r="T107" s="6">
        <f>IF(COUNTBLANK(A107:E107)&gt;0,"Missing value",IF(COUNTIF(B107:E107,"&lt;0")&gt;0,"Negative value",IF(COUNTIF($A$5:$A$204,A107)&gt;1,"Duplicate market ID",IF(OR(P107="Review",Q107="Review",R107="Review",S107="Review"),"Review outlier","OK"))))</f>
        <v/>
      </c>
    </row>
    <row r="108">
      <c r="A108" s="6">
        <f>Raw_Data!A108</f>
        <v/>
      </c>
      <c r="B108" s="7">
        <f>Raw_Data!B108</f>
        <v/>
      </c>
      <c r="C108" s="7">
        <f>Raw_Data!C108</f>
        <v/>
      </c>
      <c r="D108" s="7">
        <f>Raw_Data!D108</f>
        <v/>
      </c>
      <c r="E108" s="7">
        <f>Raw_Data!E108</f>
        <v/>
      </c>
      <c r="F108" s="7">
        <f>SUM(B108:D108)</f>
        <v/>
      </c>
      <c r="G108" s="8">
        <f>IFERROR(B108/F108,0)</f>
        <v/>
      </c>
      <c r="H108" s="8">
        <f>IFERROR(C108/F108,0)</f>
        <v/>
      </c>
      <c r="I108" s="8">
        <f>IFERROR(D108/F108,0)</f>
        <v/>
      </c>
      <c r="J108" s="9">
        <f>IFERROR(E108/F108,0)</f>
        <v/>
      </c>
      <c r="K108" s="9">
        <f>IFERROR((B108-AVERAGE($B$5:$B$204))/STDEV($B$5:$B$204),0)</f>
        <v/>
      </c>
      <c r="L108" s="9">
        <f>IFERROR((C108-AVERAGE($C$5:$C$204))/STDEV($C$5:$C$204),0)</f>
        <v/>
      </c>
      <c r="M108" s="9">
        <f>IFERROR((D108-AVERAGE($D$5:$D$204))/STDEV($D$5:$D$204),0)</f>
        <v/>
      </c>
      <c r="N108" s="9">
        <f>IFERROR((E108-AVERAGE($E$5:$E$204))/STDEV($E$5:$E$204),0)</f>
        <v/>
      </c>
      <c r="O108" s="9">
        <f>IFERROR((F108-AVERAGE($F$5:$F$204))/STDEV($F$5:$F$204),0)</f>
        <v/>
      </c>
      <c r="P108" s="6">
        <f>IF(OR(B108&lt;QUARTILE($B$5:$B$204,1)-1.5*(QUARTILE($B$5:$B$204,3)-QUARTILE($B$5:$B$204,1)),B108&gt;QUARTILE($B$5:$B$204,3)+1.5*(QUARTILE($B$5:$B$204,3)-QUARTILE($B$5:$B$204,1))),"Review","Within range")</f>
        <v/>
      </c>
      <c r="Q108" s="6">
        <f>IF(OR(C108&lt;QUARTILE($C$5:$C$204,1)-1.5*(QUARTILE($C$5:$C$204,3)-QUARTILE($C$5:$C$204,1)),C108&gt;QUARTILE($C$5:$C$204,3)+1.5*(QUARTILE($C$5:$C$204,3)-QUARTILE($C$5:$C$204,1))),"Review","Within range")</f>
        <v/>
      </c>
      <c r="R108" s="6">
        <f>IF(OR(D108&lt;QUARTILE($D$5:$D$204,1)-1.5*(QUARTILE($D$5:$D$204,3)-QUARTILE($D$5:$D$204,1)),D108&gt;QUARTILE($D$5:$D$204,3)+1.5*(QUARTILE($D$5:$D$204,3)-QUARTILE($D$5:$D$204,1))),"Review","Within range")</f>
        <v/>
      </c>
      <c r="S108" s="6">
        <f>IF(OR(E108&lt;QUARTILE($E$5:$E$204,1)-1.5*(QUARTILE($E$5:$E$204,3)-QUARTILE($E$5:$E$204,1)),E108&gt;QUARTILE($E$5:$E$204,3)+1.5*(QUARTILE($E$5:$E$204,3)-QUARTILE($E$5:$E$204,1))),"Review","Within range")</f>
        <v/>
      </c>
      <c r="T108" s="6">
        <f>IF(COUNTBLANK(A108:E108)&gt;0,"Missing value",IF(COUNTIF(B108:E108,"&lt;0")&gt;0,"Negative value",IF(COUNTIF($A$5:$A$204,A108)&gt;1,"Duplicate market ID",IF(OR(P108="Review",Q108="Review",R108="Review",S108="Review"),"Review outlier","OK"))))</f>
        <v/>
      </c>
    </row>
    <row r="109">
      <c r="A109" s="6">
        <f>Raw_Data!A109</f>
        <v/>
      </c>
      <c r="B109" s="7">
        <f>Raw_Data!B109</f>
        <v/>
      </c>
      <c r="C109" s="7">
        <f>Raw_Data!C109</f>
        <v/>
      </c>
      <c r="D109" s="7">
        <f>Raw_Data!D109</f>
        <v/>
      </c>
      <c r="E109" s="7">
        <f>Raw_Data!E109</f>
        <v/>
      </c>
      <c r="F109" s="7">
        <f>SUM(B109:D109)</f>
        <v/>
      </c>
      <c r="G109" s="8">
        <f>IFERROR(B109/F109,0)</f>
        <v/>
      </c>
      <c r="H109" s="8">
        <f>IFERROR(C109/F109,0)</f>
        <v/>
      </c>
      <c r="I109" s="8">
        <f>IFERROR(D109/F109,0)</f>
        <v/>
      </c>
      <c r="J109" s="9">
        <f>IFERROR(E109/F109,0)</f>
        <v/>
      </c>
      <c r="K109" s="9">
        <f>IFERROR((B109-AVERAGE($B$5:$B$204))/STDEV($B$5:$B$204),0)</f>
        <v/>
      </c>
      <c r="L109" s="9">
        <f>IFERROR((C109-AVERAGE($C$5:$C$204))/STDEV($C$5:$C$204),0)</f>
        <v/>
      </c>
      <c r="M109" s="9">
        <f>IFERROR((D109-AVERAGE($D$5:$D$204))/STDEV($D$5:$D$204),0)</f>
        <v/>
      </c>
      <c r="N109" s="9">
        <f>IFERROR((E109-AVERAGE($E$5:$E$204))/STDEV($E$5:$E$204),0)</f>
        <v/>
      </c>
      <c r="O109" s="9">
        <f>IFERROR((F109-AVERAGE($F$5:$F$204))/STDEV($F$5:$F$204),0)</f>
        <v/>
      </c>
      <c r="P109" s="6">
        <f>IF(OR(B109&lt;QUARTILE($B$5:$B$204,1)-1.5*(QUARTILE($B$5:$B$204,3)-QUARTILE($B$5:$B$204,1)),B109&gt;QUARTILE($B$5:$B$204,3)+1.5*(QUARTILE($B$5:$B$204,3)-QUARTILE($B$5:$B$204,1))),"Review","Within range")</f>
        <v/>
      </c>
      <c r="Q109" s="6">
        <f>IF(OR(C109&lt;QUARTILE($C$5:$C$204,1)-1.5*(QUARTILE($C$5:$C$204,3)-QUARTILE($C$5:$C$204,1)),C109&gt;QUARTILE($C$5:$C$204,3)+1.5*(QUARTILE($C$5:$C$204,3)-QUARTILE($C$5:$C$204,1))),"Review","Within range")</f>
        <v/>
      </c>
      <c r="R109" s="6">
        <f>IF(OR(D109&lt;QUARTILE($D$5:$D$204,1)-1.5*(QUARTILE($D$5:$D$204,3)-QUARTILE($D$5:$D$204,1)),D109&gt;QUARTILE($D$5:$D$204,3)+1.5*(QUARTILE($D$5:$D$204,3)-QUARTILE($D$5:$D$204,1))),"Review","Within range")</f>
        <v/>
      </c>
      <c r="S109" s="6">
        <f>IF(OR(E109&lt;QUARTILE($E$5:$E$204,1)-1.5*(QUARTILE($E$5:$E$204,3)-QUARTILE($E$5:$E$204,1)),E109&gt;QUARTILE($E$5:$E$204,3)+1.5*(QUARTILE($E$5:$E$204,3)-QUARTILE($E$5:$E$204,1))),"Review","Within range")</f>
        <v/>
      </c>
      <c r="T109" s="6">
        <f>IF(COUNTBLANK(A109:E109)&gt;0,"Missing value",IF(COUNTIF(B109:E109,"&lt;0")&gt;0,"Negative value",IF(COUNTIF($A$5:$A$204,A109)&gt;1,"Duplicate market ID",IF(OR(P109="Review",Q109="Review",R109="Review",S109="Review"),"Review outlier","OK"))))</f>
        <v/>
      </c>
    </row>
    <row r="110">
      <c r="A110" s="6">
        <f>Raw_Data!A110</f>
        <v/>
      </c>
      <c r="B110" s="7">
        <f>Raw_Data!B110</f>
        <v/>
      </c>
      <c r="C110" s="7">
        <f>Raw_Data!C110</f>
        <v/>
      </c>
      <c r="D110" s="7">
        <f>Raw_Data!D110</f>
        <v/>
      </c>
      <c r="E110" s="7">
        <f>Raw_Data!E110</f>
        <v/>
      </c>
      <c r="F110" s="7">
        <f>SUM(B110:D110)</f>
        <v/>
      </c>
      <c r="G110" s="8">
        <f>IFERROR(B110/F110,0)</f>
        <v/>
      </c>
      <c r="H110" s="8">
        <f>IFERROR(C110/F110,0)</f>
        <v/>
      </c>
      <c r="I110" s="8">
        <f>IFERROR(D110/F110,0)</f>
        <v/>
      </c>
      <c r="J110" s="9">
        <f>IFERROR(E110/F110,0)</f>
        <v/>
      </c>
      <c r="K110" s="9">
        <f>IFERROR((B110-AVERAGE($B$5:$B$204))/STDEV($B$5:$B$204),0)</f>
        <v/>
      </c>
      <c r="L110" s="9">
        <f>IFERROR((C110-AVERAGE($C$5:$C$204))/STDEV($C$5:$C$204),0)</f>
        <v/>
      </c>
      <c r="M110" s="9">
        <f>IFERROR((D110-AVERAGE($D$5:$D$204))/STDEV($D$5:$D$204),0)</f>
        <v/>
      </c>
      <c r="N110" s="9">
        <f>IFERROR((E110-AVERAGE($E$5:$E$204))/STDEV($E$5:$E$204),0)</f>
        <v/>
      </c>
      <c r="O110" s="9">
        <f>IFERROR((F110-AVERAGE($F$5:$F$204))/STDEV($F$5:$F$204),0)</f>
        <v/>
      </c>
      <c r="P110" s="6">
        <f>IF(OR(B110&lt;QUARTILE($B$5:$B$204,1)-1.5*(QUARTILE($B$5:$B$204,3)-QUARTILE($B$5:$B$204,1)),B110&gt;QUARTILE($B$5:$B$204,3)+1.5*(QUARTILE($B$5:$B$204,3)-QUARTILE($B$5:$B$204,1))),"Review","Within range")</f>
        <v/>
      </c>
      <c r="Q110" s="6">
        <f>IF(OR(C110&lt;QUARTILE($C$5:$C$204,1)-1.5*(QUARTILE($C$5:$C$204,3)-QUARTILE($C$5:$C$204,1)),C110&gt;QUARTILE($C$5:$C$204,3)+1.5*(QUARTILE($C$5:$C$204,3)-QUARTILE($C$5:$C$204,1))),"Review","Within range")</f>
        <v/>
      </c>
      <c r="R110" s="6">
        <f>IF(OR(D110&lt;QUARTILE($D$5:$D$204,1)-1.5*(QUARTILE($D$5:$D$204,3)-QUARTILE($D$5:$D$204,1)),D110&gt;QUARTILE($D$5:$D$204,3)+1.5*(QUARTILE($D$5:$D$204,3)-QUARTILE($D$5:$D$204,1))),"Review","Within range")</f>
        <v/>
      </c>
      <c r="S110" s="6">
        <f>IF(OR(E110&lt;QUARTILE($E$5:$E$204,1)-1.5*(QUARTILE($E$5:$E$204,3)-QUARTILE($E$5:$E$204,1)),E110&gt;QUARTILE($E$5:$E$204,3)+1.5*(QUARTILE($E$5:$E$204,3)-QUARTILE($E$5:$E$204,1))),"Review","Within range")</f>
        <v/>
      </c>
      <c r="T110" s="6">
        <f>IF(COUNTBLANK(A110:E110)&gt;0,"Missing value",IF(COUNTIF(B110:E110,"&lt;0")&gt;0,"Negative value",IF(COUNTIF($A$5:$A$204,A110)&gt;1,"Duplicate market ID",IF(OR(P110="Review",Q110="Review",R110="Review",S110="Review"),"Review outlier","OK"))))</f>
        <v/>
      </c>
    </row>
    <row r="111">
      <c r="A111" s="6">
        <f>Raw_Data!A111</f>
        <v/>
      </c>
      <c r="B111" s="7">
        <f>Raw_Data!B111</f>
        <v/>
      </c>
      <c r="C111" s="7">
        <f>Raw_Data!C111</f>
        <v/>
      </c>
      <c r="D111" s="7">
        <f>Raw_Data!D111</f>
        <v/>
      </c>
      <c r="E111" s="7">
        <f>Raw_Data!E111</f>
        <v/>
      </c>
      <c r="F111" s="7">
        <f>SUM(B111:D111)</f>
        <v/>
      </c>
      <c r="G111" s="8">
        <f>IFERROR(B111/F111,0)</f>
        <v/>
      </c>
      <c r="H111" s="8">
        <f>IFERROR(C111/F111,0)</f>
        <v/>
      </c>
      <c r="I111" s="8">
        <f>IFERROR(D111/F111,0)</f>
        <v/>
      </c>
      <c r="J111" s="9">
        <f>IFERROR(E111/F111,0)</f>
        <v/>
      </c>
      <c r="K111" s="9">
        <f>IFERROR((B111-AVERAGE($B$5:$B$204))/STDEV($B$5:$B$204),0)</f>
        <v/>
      </c>
      <c r="L111" s="9">
        <f>IFERROR((C111-AVERAGE($C$5:$C$204))/STDEV($C$5:$C$204),0)</f>
        <v/>
      </c>
      <c r="M111" s="9">
        <f>IFERROR((D111-AVERAGE($D$5:$D$204))/STDEV($D$5:$D$204),0)</f>
        <v/>
      </c>
      <c r="N111" s="9">
        <f>IFERROR((E111-AVERAGE($E$5:$E$204))/STDEV($E$5:$E$204),0)</f>
        <v/>
      </c>
      <c r="O111" s="9">
        <f>IFERROR((F111-AVERAGE($F$5:$F$204))/STDEV($F$5:$F$204),0)</f>
        <v/>
      </c>
      <c r="P111" s="6">
        <f>IF(OR(B111&lt;QUARTILE($B$5:$B$204,1)-1.5*(QUARTILE($B$5:$B$204,3)-QUARTILE($B$5:$B$204,1)),B111&gt;QUARTILE($B$5:$B$204,3)+1.5*(QUARTILE($B$5:$B$204,3)-QUARTILE($B$5:$B$204,1))),"Review","Within range")</f>
        <v/>
      </c>
      <c r="Q111" s="6">
        <f>IF(OR(C111&lt;QUARTILE($C$5:$C$204,1)-1.5*(QUARTILE($C$5:$C$204,3)-QUARTILE($C$5:$C$204,1)),C111&gt;QUARTILE($C$5:$C$204,3)+1.5*(QUARTILE($C$5:$C$204,3)-QUARTILE($C$5:$C$204,1))),"Review","Within range")</f>
        <v/>
      </c>
      <c r="R111" s="6">
        <f>IF(OR(D111&lt;QUARTILE($D$5:$D$204,1)-1.5*(QUARTILE($D$5:$D$204,3)-QUARTILE($D$5:$D$204,1)),D111&gt;QUARTILE($D$5:$D$204,3)+1.5*(QUARTILE($D$5:$D$204,3)-QUARTILE($D$5:$D$204,1))),"Review","Within range")</f>
        <v/>
      </c>
      <c r="S111" s="6">
        <f>IF(OR(E111&lt;QUARTILE($E$5:$E$204,1)-1.5*(QUARTILE($E$5:$E$204,3)-QUARTILE($E$5:$E$204,1)),E111&gt;QUARTILE($E$5:$E$204,3)+1.5*(QUARTILE($E$5:$E$204,3)-QUARTILE($E$5:$E$204,1))),"Review","Within range")</f>
        <v/>
      </c>
      <c r="T111" s="6">
        <f>IF(COUNTBLANK(A111:E111)&gt;0,"Missing value",IF(COUNTIF(B111:E111,"&lt;0")&gt;0,"Negative value",IF(COUNTIF($A$5:$A$204,A111)&gt;1,"Duplicate market ID",IF(OR(P111="Review",Q111="Review",R111="Review",S111="Review"),"Review outlier","OK"))))</f>
        <v/>
      </c>
    </row>
    <row r="112">
      <c r="A112" s="6">
        <f>Raw_Data!A112</f>
        <v/>
      </c>
      <c r="B112" s="7">
        <f>Raw_Data!B112</f>
        <v/>
      </c>
      <c r="C112" s="7">
        <f>Raw_Data!C112</f>
        <v/>
      </c>
      <c r="D112" s="7">
        <f>Raw_Data!D112</f>
        <v/>
      </c>
      <c r="E112" s="7">
        <f>Raw_Data!E112</f>
        <v/>
      </c>
      <c r="F112" s="7">
        <f>SUM(B112:D112)</f>
        <v/>
      </c>
      <c r="G112" s="8">
        <f>IFERROR(B112/F112,0)</f>
        <v/>
      </c>
      <c r="H112" s="8">
        <f>IFERROR(C112/F112,0)</f>
        <v/>
      </c>
      <c r="I112" s="8">
        <f>IFERROR(D112/F112,0)</f>
        <v/>
      </c>
      <c r="J112" s="9">
        <f>IFERROR(E112/F112,0)</f>
        <v/>
      </c>
      <c r="K112" s="9">
        <f>IFERROR((B112-AVERAGE($B$5:$B$204))/STDEV($B$5:$B$204),0)</f>
        <v/>
      </c>
      <c r="L112" s="9">
        <f>IFERROR((C112-AVERAGE($C$5:$C$204))/STDEV($C$5:$C$204),0)</f>
        <v/>
      </c>
      <c r="M112" s="9">
        <f>IFERROR((D112-AVERAGE($D$5:$D$204))/STDEV($D$5:$D$204),0)</f>
        <v/>
      </c>
      <c r="N112" s="9">
        <f>IFERROR((E112-AVERAGE($E$5:$E$204))/STDEV($E$5:$E$204),0)</f>
        <v/>
      </c>
      <c r="O112" s="9">
        <f>IFERROR((F112-AVERAGE($F$5:$F$204))/STDEV($F$5:$F$204),0)</f>
        <v/>
      </c>
      <c r="P112" s="6">
        <f>IF(OR(B112&lt;QUARTILE($B$5:$B$204,1)-1.5*(QUARTILE($B$5:$B$204,3)-QUARTILE($B$5:$B$204,1)),B112&gt;QUARTILE($B$5:$B$204,3)+1.5*(QUARTILE($B$5:$B$204,3)-QUARTILE($B$5:$B$204,1))),"Review","Within range")</f>
        <v/>
      </c>
      <c r="Q112" s="6">
        <f>IF(OR(C112&lt;QUARTILE($C$5:$C$204,1)-1.5*(QUARTILE($C$5:$C$204,3)-QUARTILE($C$5:$C$204,1)),C112&gt;QUARTILE($C$5:$C$204,3)+1.5*(QUARTILE($C$5:$C$204,3)-QUARTILE($C$5:$C$204,1))),"Review","Within range")</f>
        <v/>
      </c>
      <c r="R112" s="6">
        <f>IF(OR(D112&lt;QUARTILE($D$5:$D$204,1)-1.5*(QUARTILE($D$5:$D$204,3)-QUARTILE($D$5:$D$204,1)),D112&gt;QUARTILE($D$5:$D$204,3)+1.5*(QUARTILE($D$5:$D$204,3)-QUARTILE($D$5:$D$204,1))),"Review","Within range")</f>
        <v/>
      </c>
      <c r="S112" s="6">
        <f>IF(OR(E112&lt;QUARTILE($E$5:$E$204,1)-1.5*(QUARTILE($E$5:$E$204,3)-QUARTILE($E$5:$E$204,1)),E112&gt;QUARTILE($E$5:$E$204,3)+1.5*(QUARTILE($E$5:$E$204,3)-QUARTILE($E$5:$E$204,1))),"Review","Within range")</f>
        <v/>
      </c>
      <c r="T112" s="6">
        <f>IF(COUNTBLANK(A112:E112)&gt;0,"Missing value",IF(COUNTIF(B112:E112,"&lt;0")&gt;0,"Negative value",IF(COUNTIF($A$5:$A$204,A112)&gt;1,"Duplicate market ID",IF(OR(P112="Review",Q112="Review",R112="Review",S112="Review"),"Review outlier","OK"))))</f>
        <v/>
      </c>
    </row>
    <row r="113">
      <c r="A113" s="6">
        <f>Raw_Data!A113</f>
        <v/>
      </c>
      <c r="B113" s="7">
        <f>Raw_Data!B113</f>
        <v/>
      </c>
      <c r="C113" s="7">
        <f>Raw_Data!C113</f>
        <v/>
      </c>
      <c r="D113" s="7">
        <f>Raw_Data!D113</f>
        <v/>
      </c>
      <c r="E113" s="7">
        <f>Raw_Data!E113</f>
        <v/>
      </c>
      <c r="F113" s="7">
        <f>SUM(B113:D113)</f>
        <v/>
      </c>
      <c r="G113" s="8">
        <f>IFERROR(B113/F113,0)</f>
        <v/>
      </c>
      <c r="H113" s="8">
        <f>IFERROR(C113/F113,0)</f>
        <v/>
      </c>
      <c r="I113" s="8">
        <f>IFERROR(D113/F113,0)</f>
        <v/>
      </c>
      <c r="J113" s="9">
        <f>IFERROR(E113/F113,0)</f>
        <v/>
      </c>
      <c r="K113" s="9">
        <f>IFERROR((B113-AVERAGE($B$5:$B$204))/STDEV($B$5:$B$204),0)</f>
        <v/>
      </c>
      <c r="L113" s="9">
        <f>IFERROR((C113-AVERAGE($C$5:$C$204))/STDEV($C$5:$C$204),0)</f>
        <v/>
      </c>
      <c r="M113" s="9">
        <f>IFERROR((D113-AVERAGE($D$5:$D$204))/STDEV($D$5:$D$204),0)</f>
        <v/>
      </c>
      <c r="N113" s="9">
        <f>IFERROR((E113-AVERAGE($E$5:$E$204))/STDEV($E$5:$E$204),0)</f>
        <v/>
      </c>
      <c r="O113" s="9">
        <f>IFERROR((F113-AVERAGE($F$5:$F$204))/STDEV($F$5:$F$204),0)</f>
        <v/>
      </c>
      <c r="P113" s="6">
        <f>IF(OR(B113&lt;QUARTILE($B$5:$B$204,1)-1.5*(QUARTILE($B$5:$B$204,3)-QUARTILE($B$5:$B$204,1)),B113&gt;QUARTILE($B$5:$B$204,3)+1.5*(QUARTILE($B$5:$B$204,3)-QUARTILE($B$5:$B$204,1))),"Review","Within range")</f>
        <v/>
      </c>
      <c r="Q113" s="6">
        <f>IF(OR(C113&lt;QUARTILE($C$5:$C$204,1)-1.5*(QUARTILE($C$5:$C$204,3)-QUARTILE($C$5:$C$204,1)),C113&gt;QUARTILE($C$5:$C$204,3)+1.5*(QUARTILE($C$5:$C$204,3)-QUARTILE($C$5:$C$204,1))),"Review","Within range")</f>
        <v/>
      </c>
      <c r="R113" s="6">
        <f>IF(OR(D113&lt;QUARTILE($D$5:$D$204,1)-1.5*(QUARTILE($D$5:$D$204,3)-QUARTILE($D$5:$D$204,1)),D113&gt;QUARTILE($D$5:$D$204,3)+1.5*(QUARTILE($D$5:$D$204,3)-QUARTILE($D$5:$D$204,1))),"Review","Within range")</f>
        <v/>
      </c>
      <c r="S113" s="6">
        <f>IF(OR(E113&lt;QUARTILE($E$5:$E$204,1)-1.5*(QUARTILE($E$5:$E$204,3)-QUARTILE($E$5:$E$204,1)),E113&gt;QUARTILE($E$5:$E$204,3)+1.5*(QUARTILE($E$5:$E$204,3)-QUARTILE($E$5:$E$204,1))),"Review","Within range")</f>
        <v/>
      </c>
      <c r="T113" s="6">
        <f>IF(COUNTBLANK(A113:E113)&gt;0,"Missing value",IF(COUNTIF(B113:E113,"&lt;0")&gt;0,"Negative value",IF(COUNTIF($A$5:$A$204,A113)&gt;1,"Duplicate market ID",IF(OR(P113="Review",Q113="Review",R113="Review",S113="Review"),"Review outlier","OK"))))</f>
        <v/>
      </c>
    </row>
    <row r="114">
      <c r="A114" s="6">
        <f>Raw_Data!A114</f>
        <v/>
      </c>
      <c r="B114" s="7">
        <f>Raw_Data!B114</f>
        <v/>
      </c>
      <c r="C114" s="7">
        <f>Raw_Data!C114</f>
        <v/>
      </c>
      <c r="D114" s="7">
        <f>Raw_Data!D114</f>
        <v/>
      </c>
      <c r="E114" s="7">
        <f>Raw_Data!E114</f>
        <v/>
      </c>
      <c r="F114" s="7">
        <f>SUM(B114:D114)</f>
        <v/>
      </c>
      <c r="G114" s="8">
        <f>IFERROR(B114/F114,0)</f>
        <v/>
      </c>
      <c r="H114" s="8">
        <f>IFERROR(C114/F114,0)</f>
        <v/>
      </c>
      <c r="I114" s="8">
        <f>IFERROR(D114/F114,0)</f>
        <v/>
      </c>
      <c r="J114" s="9">
        <f>IFERROR(E114/F114,0)</f>
        <v/>
      </c>
      <c r="K114" s="9">
        <f>IFERROR((B114-AVERAGE($B$5:$B$204))/STDEV($B$5:$B$204),0)</f>
        <v/>
      </c>
      <c r="L114" s="9">
        <f>IFERROR((C114-AVERAGE($C$5:$C$204))/STDEV($C$5:$C$204),0)</f>
        <v/>
      </c>
      <c r="M114" s="9">
        <f>IFERROR((D114-AVERAGE($D$5:$D$204))/STDEV($D$5:$D$204),0)</f>
        <v/>
      </c>
      <c r="N114" s="9">
        <f>IFERROR((E114-AVERAGE($E$5:$E$204))/STDEV($E$5:$E$204),0)</f>
        <v/>
      </c>
      <c r="O114" s="9">
        <f>IFERROR((F114-AVERAGE($F$5:$F$204))/STDEV($F$5:$F$204),0)</f>
        <v/>
      </c>
      <c r="P114" s="6">
        <f>IF(OR(B114&lt;QUARTILE($B$5:$B$204,1)-1.5*(QUARTILE($B$5:$B$204,3)-QUARTILE($B$5:$B$204,1)),B114&gt;QUARTILE($B$5:$B$204,3)+1.5*(QUARTILE($B$5:$B$204,3)-QUARTILE($B$5:$B$204,1))),"Review","Within range")</f>
        <v/>
      </c>
      <c r="Q114" s="6">
        <f>IF(OR(C114&lt;QUARTILE($C$5:$C$204,1)-1.5*(QUARTILE($C$5:$C$204,3)-QUARTILE($C$5:$C$204,1)),C114&gt;QUARTILE($C$5:$C$204,3)+1.5*(QUARTILE($C$5:$C$204,3)-QUARTILE($C$5:$C$204,1))),"Review","Within range")</f>
        <v/>
      </c>
      <c r="R114" s="6">
        <f>IF(OR(D114&lt;QUARTILE($D$5:$D$204,1)-1.5*(QUARTILE($D$5:$D$204,3)-QUARTILE($D$5:$D$204,1)),D114&gt;QUARTILE($D$5:$D$204,3)+1.5*(QUARTILE($D$5:$D$204,3)-QUARTILE($D$5:$D$204,1))),"Review","Within range")</f>
        <v/>
      </c>
      <c r="S114" s="6">
        <f>IF(OR(E114&lt;QUARTILE($E$5:$E$204,1)-1.5*(QUARTILE($E$5:$E$204,3)-QUARTILE($E$5:$E$204,1)),E114&gt;QUARTILE($E$5:$E$204,3)+1.5*(QUARTILE($E$5:$E$204,3)-QUARTILE($E$5:$E$204,1))),"Review","Within range")</f>
        <v/>
      </c>
      <c r="T114" s="6">
        <f>IF(COUNTBLANK(A114:E114)&gt;0,"Missing value",IF(COUNTIF(B114:E114,"&lt;0")&gt;0,"Negative value",IF(COUNTIF($A$5:$A$204,A114)&gt;1,"Duplicate market ID",IF(OR(P114="Review",Q114="Review",R114="Review",S114="Review"),"Review outlier","OK"))))</f>
        <v/>
      </c>
    </row>
    <row r="115">
      <c r="A115" s="6">
        <f>Raw_Data!A115</f>
        <v/>
      </c>
      <c r="B115" s="7">
        <f>Raw_Data!B115</f>
        <v/>
      </c>
      <c r="C115" s="7">
        <f>Raw_Data!C115</f>
        <v/>
      </c>
      <c r="D115" s="7">
        <f>Raw_Data!D115</f>
        <v/>
      </c>
      <c r="E115" s="7">
        <f>Raw_Data!E115</f>
        <v/>
      </c>
      <c r="F115" s="7">
        <f>SUM(B115:D115)</f>
        <v/>
      </c>
      <c r="G115" s="8">
        <f>IFERROR(B115/F115,0)</f>
        <v/>
      </c>
      <c r="H115" s="8">
        <f>IFERROR(C115/F115,0)</f>
        <v/>
      </c>
      <c r="I115" s="8">
        <f>IFERROR(D115/F115,0)</f>
        <v/>
      </c>
      <c r="J115" s="9">
        <f>IFERROR(E115/F115,0)</f>
        <v/>
      </c>
      <c r="K115" s="9">
        <f>IFERROR((B115-AVERAGE($B$5:$B$204))/STDEV($B$5:$B$204),0)</f>
        <v/>
      </c>
      <c r="L115" s="9">
        <f>IFERROR((C115-AVERAGE($C$5:$C$204))/STDEV($C$5:$C$204),0)</f>
        <v/>
      </c>
      <c r="M115" s="9">
        <f>IFERROR((D115-AVERAGE($D$5:$D$204))/STDEV($D$5:$D$204),0)</f>
        <v/>
      </c>
      <c r="N115" s="9">
        <f>IFERROR((E115-AVERAGE($E$5:$E$204))/STDEV($E$5:$E$204),0)</f>
        <v/>
      </c>
      <c r="O115" s="9">
        <f>IFERROR((F115-AVERAGE($F$5:$F$204))/STDEV($F$5:$F$204),0)</f>
        <v/>
      </c>
      <c r="P115" s="6">
        <f>IF(OR(B115&lt;QUARTILE($B$5:$B$204,1)-1.5*(QUARTILE($B$5:$B$204,3)-QUARTILE($B$5:$B$204,1)),B115&gt;QUARTILE($B$5:$B$204,3)+1.5*(QUARTILE($B$5:$B$204,3)-QUARTILE($B$5:$B$204,1))),"Review","Within range")</f>
        <v/>
      </c>
      <c r="Q115" s="6">
        <f>IF(OR(C115&lt;QUARTILE($C$5:$C$204,1)-1.5*(QUARTILE($C$5:$C$204,3)-QUARTILE($C$5:$C$204,1)),C115&gt;QUARTILE($C$5:$C$204,3)+1.5*(QUARTILE($C$5:$C$204,3)-QUARTILE($C$5:$C$204,1))),"Review","Within range")</f>
        <v/>
      </c>
      <c r="R115" s="6">
        <f>IF(OR(D115&lt;QUARTILE($D$5:$D$204,1)-1.5*(QUARTILE($D$5:$D$204,3)-QUARTILE($D$5:$D$204,1)),D115&gt;QUARTILE($D$5:$D$204,3)+1.5*(QUARTILE($D$5:$D$204,3)-QUARTILE($D$5:$D$204,1))),"Review","Within range")</f>
        <v/>
      </c>
      <c r="S115" s="6">
        <f>IF(OR(E115&lt;QUARTILE($E$5:$E$204,1)-1.5*(QUARTILE($E$5:$E$204,3)-QUARTILE($E$5:$E$204,1)),E115&gt;QUARTILE($E$5:$E$204,3)+1.5*(QUARTILE($E$5:$E$204,3)-QUARTILE($E$5:$E$204,1))),"Review","Within range")</f>
        <v/>
      </c>
      <c r="T115" s="6">
        <f>IF(COUNTBLANK(A115:E115)&gt;0,"Missing value",IF(COUNTIF(B115:E115,"&lt;0")&gt;0,"Negative value",IF(COUNTIF($A$5:$A$204,A115)&gt;1,"Duplicate market ID",IF(OR(P115="Review",Q115="Review",R115="Review",S115="Review"),"Review outlier","OK"))))</f>
        <v/>
      </c>
    </row>
    <row r="116">
      <c r="A116" s="6">
        <f>Raw_Data!A116</f>
        <v/>
      </c>
      <c r="B116" s="7">
        <f>Raw_Data!B116</f>
        <v/>
      </c>
      <c r="C116" s="7">
        <f>Raw_Data!C116</f>
        <v/>
      </c>
      <c r="D116" s="7">
        <f>Raw_Data!D116</f>
        <v/>
      </c>
      <c r="E116" s="7">
        <f>Raw_Data!E116</f>
        <v/>
      </c>
      <c r="F116" s="7">
        <f>SUM(B116:D116)</f>
        <v/>
      </c>
      <c r="G116" s="8">
        <f>IFERROR(B116/F116,0)</f>
        <v/>
      </c>
      <c r="H116" s="8">
        <f>IFERROR(C116/F116,0)</f>
        <v/>
      </c>
      <c r="I116" s="8">
        <f>IFERROR(D116/F116,0)</f>
        <v/>
      </c>
      <c r="J116" s="9">
        <f>IFERROR(E116/F116,0)</f>
        <v/>
      </c>
      <c r="K116" s="9">
        <f>IFERROR((B116-AVERAGE($B$5:$B$204))/STDEV($B$5:$B$204),0)</f>
        <v/>
      </c>
      <c r="L116" s="9">
        <f>IFERROR((C116-AVERAGE($C$5:$C$204))/STDEV($C$5:$C$204),0)</f>
        <v/>
      </c>
      <c r="M116" s="9">
        <f>IFERROR((D116-AVERAGE($D$5:$D$204))/STDEV($D$5:$D$204),0)</f>
        <v/>
      </c>
      <c r="N116" s="9">
        <f>IFERROR((E116-AVERAGE($E$5:$E$204))/STDEV($E$5:$E$204),0)</f>
        <v/>
      </c>
      <c r="O116" s="9">
        <f>IFERROR((F116-AVERAGE($F$5:$F$204))/STDEV($F$5:$F$204),0)</f>
        <v/>
      </c>
      <c r="P116" s="6">
        <f>IF(OR(B116&lt;QUARTILE($B$5:$B$204,1)-1.5*(QUARTILE($B$5:$B$204,3)-QUARTILE($B$5:$B$204,1)),B116&gt;QUARTILE($B$5:$B$204,3)+1.5*(QUARTILE($B$5:$B$204,3)-QUARTILE($B$5:$B$204,1))),"Review","Within range")</f>
        <v/>
      </c>
      <c r="Q116" s="6">
        <f>IF(OR(C116&lt;QUARTILE($C$5:$C$204,1)-1.5*(QUARTILE($C$5:$C$204,3)-QUARTILE($C$5:$C$204,1)),C116&gt;QUARTILE($C$5:$C$204,3)+1.5*(QUARTILE($C$5:$C$204,3)-QUARTILE($C$5:$C$204,1))),"Review","Within range")</f>
        <v/>
      </c>
      <c r="R116" s="6">
        <f>IF(OR(D116&lt;QUARTILE($D$5:$D$204,1)-1.5*(QUARTILE($D$5:$D$204,3)-QUARTILE($D$5:$D$204,1)),D116&gt;QUARTILE($D$5:$D$204,3)+1.5*(QUARTILE($D$5:$D$204,3)-QUARTILE($D$5:$D$204,1))),"Review","Within range")</f>
        <v/>
      </c>
      <c r="S116" s="6">
        <f>IF(OR(E116&lt;QUARTILE($E$5:$E$204,1)-1.5*(QUARTILE($E$5:$E$204,3)-QUARTILE($E$5:$E$204,1)),E116&gt;QUARTILE($E$5:$E$204,3)+1.5*(QUARTILE($E$5:$E$204,3)-QUARTILE($E$5:$E$204,1))),"Review","Within range")</f>
        <v/>
      </c>
      <c r="T116" s="6">
        <f>IF(COUNTBLANK(A116:E116)&gt;0,"Missing value",IF(COUNTIF(B116:E116,"&lt;0")&gt;0,"Negative value",IF(COUNTIF($A$5:$A$204,A116)&gt;1,"Duplicate market ID",IF(OR(P116="Review",Q116="Review",R116="Review",S116="Review"),"Review outlier","OK"))))</f>
        <v/>
      </c>
    </row>
    <row r="117">
      <c r="A117" s="6">
        <f>Raw_Data!A117</f>
        <v/>
      </c>
      <c r="B117" s="7">
        <f>Raw_Data!B117</f>
        <v/>
      </c>
      <c r="C117" s="7">
        <f>Raw_Data!C117</f>
        <v/>
      </c>
      <c r="D117" s="7">
        <f>Raw_Data!D117</f>
        <v/>
      </c>
      <c r="E117" s="7">
        <f>Raw_Data!E117</f>
        <v/>
      </c>
      <c r="F117" s="7">
        <f>SUM(B117:D117)</f>
        <v/>
      </c>
      <c r="G117" s="8">
        <f>IFERROR(B117/F117,0)</f>
        <v/>
      </c>
      <c r="H117" s="8">
        <f>IFERROR(C117/F117,0)</f>
        <v/>
      </c>
      <c r="I117" s="8">
        <f>IFERROR(D117/F117,0)</f>
        <v/>
      </c>
      <c r="J117" s="9">
        <f>IFERROR(E117/F117,0)</f>
        <v/>
      </c>
      <c r="K117" s="9">
        <f>IFERROR((B117-AVERAGE($B$5:$B$204))/STDEV($B$5:$B$204),0)</f>
        <v/>
      </c>
      <c r="L117" s="9">
        <f>IFERROR((C117-AVERAGE($C$5:$C$204))/STDEV($C$5:$C$204),0)</f>
        <v/>
      </c>
      <c r="M117" s="9">
        <f>IFERROR((D117-AVERAGE($D$5:$D$204))/STDEV($D$5:$D$204),0)</f>
        <v/>
      </c>
      <c r="N117" s="9">
        <f>IFERROR((E117-AVERAGE($E$5:$E$204))/STDEV($E$5:$E$204),0)</f>
        <v/>
      </c>
      <c r="O117" s="9">
        <f>IFERROR((F117-AVERAGE($F$5:$F$204))/STDEV($F$5:$F$204),0)</f>
        <v/>
      </c>
      <c r="P117" s="6">
        <f>IF(OR(B117&lt;QUARTILE($B$5:$B$204,1)-1.5*(QUARTILE($B$5:$B$204,3)-QUARTILE($B$5:$B$204,1)),B117&gt;QUARTILE($B$5:$B$204,3)+1.5*(QUARTILE($B$5:$B$204,3)-QUARTILE($B$5:$B$204,1))),"Review","Within range")</f>
        <v/>
      </c>
      <c r="Q117" s="6">
        <f>IF(OR(C117&lt;QUARTILE($C$5:$C$204,1)-1.5*(QUARTILE($C$5:$C$204,3)-QUARTILE($C$5:$C$204,1)),C117&gt;QUARTILE($C$5:$C$204,3)+1.5*(QUARTILE($C$5:$C$204,3)-QUARTILE($C$5:$C$204,1))),"Review","Within range")</f>
        <v/>
      </c>
      <c r="R117" s="6">
        <f>IF(OR(D117&lt;QUARTILE($D$5:$D$204,1)-1.5*(QUARTILE($D$5:$D$204,3)-QUARTILE($D$5:$D$204,1)),D117&gt;QUARTILE($D$5:$D$204,3)+1.5*(QUARTILE($D$5:$D$204,3)-QUARTILE($D$5:$D$204,1))),"Review","Within range")</f>
        <v/>
      </c>
      <c r="S117" s="6">
        <f>IF(OR(E117&lt;QUARTILE($E$5:$E$204,1)-1.5*(QUARTILE($E$5:$E$204,3)-QUARTILE($E$5:$E$204,1)),E117&gt;QUARTILE($E$5:$E$204,3)+1.5*(QUARTILE($E$5:$E$204,3)-QUARTILE($E$5:$E$204,1))),"Review","Within range")</f>
        <v/>
      </c>
      <c r="T117" s="6">
        <f>IF(COUNTBLANK(A117:E117)&gt;0,"Missing value",IF(COUNTIF(B117:E117,"&lt;0")&gt;0,"Negative value",IF(COUNTIF($A$5:$A$204,A117)&gt;1,"Duplicate market ID",IF(OR(P117="Review",Q117="Review",R117="Review",S117="Review"),"Review outlier","OK"))))</f>
        <v/>
      </c>
    </row>
    <row r="118">
      <c r="A118" s="6">
        <f>Raw_Data!A118</f>
        <v/>
      </c>
      <c r="B118" s="7">
        <f>Raw_Data!B118</f>
        <v/>
      </c>
      <c r="C118" s="7">
        <f>Raw_Data!C118</f>
        <v/>
      </c>
      <c r="D118" s="7">
        <f>Raw_Data!D118</f>
        <v/>
      </c>
      <c r="E118" s="7">
        <f>Raw_Data!E118</f>
        <v/>
      </c>
      <c r="F118" s="7">
        <f>SUM(B118:D118)</f>
        <v/>
      </c>
      <c r="G118" s="8">
        <f>IFERROR(B118/F118,0)</f>
        <v/>
      </c>
      <c r="H118" s="8">
        <f>IFERROR(C118/F118,0)</f>
        <v/>
      </c>
      <c r="I118" s="8">
        <f>IFERROR(D118/F118,0)</f>
        <v/>
      </c>
      <c r="J118" s="9">
        <f>IFERROR(E118/F118,0)</f>
        <v/>
      </c>
      <c r="K118" s="9">
        <f>IFERROR((B118-AVERAGE($B$5:$B$204))/STDEV($B$5:$B$204),0)</f>
        <v/>
      </c>
      <c r="L118" s="9">
        <f>IFERROR((C118-AVERAGE($C$5:$C$204))/STDEV($C$5:$C$204),0)</f>
        <v/>
      </c>
      <c r="M118" s="9">
        <f>IFERROR((D118-AVERAGE($D$5:$D$204))/STDEV($D$5:$D$204),0)</f>
        <v/>
      </c>
      <c r="N118" s="9">
        <f>IFERROR((E118-AVERAGE($E$5:$E$204))/STDEV($E$5:$E$204),0)</f>
        <v/>
      </c>
      <c r="O118" s="9">
        <f>IFERROR((F118-AVERAGE($F$5:$F$204))/STDEV($F$5:$F$204),0)</f>
        <v/>
      </c>
      <c r="P118" s="6">
        <f>IF(OR(B118&lt;QUARTILE($B$5:$B$204,1)-1.5*(QUARTILE($B$5:$B$204,3)-QUARTILE($B$5:$B$204,1)),B118&gt;QUARTILE($B$5:$B$204,3)+1.5*(QUARTILE($B$5:$B$204,3)-QUARTILE($B$5:$B$204,1))),"Review","Within range")</f>
        <v/>
      </c>
      <c r="Q118" s="6">
        <f>IF(OR(C118&lt;QUARTILE($C$5:$C$204,1)-1.5*(QUARTILE($C$5:$C$204,3)-QUARTILE($C$5:$C$204,1)),C118&gt;QUARTILE($C$5:$C$204,3)+1.5*(QUARTILE($C$5:$C$204,3)-QUARTILE($C$5:$C$204,1))),"Review","Within range")</f>
        <v/>
      </c>
      <c r="R118" s="6">
        <f>IF(OR(D118&lt;QUARTILE($D$5:$D$204,1)-1.5*(QUARTILE($D$5:$D$204,3)-QUARTILE($D$5:$D$204,1)),D118&gt;QUARTILE($D$5:$D$204,3)+1.5*(QUARTILE($D$5:$D$204,3)-QUARTILE($D$5:$D$204,1))),"Review","Within range")</f>
        <v/>
      </c>
      <c r="S118" s="6">
        <f>IF(OR(E118&lt;QUARTILE($E$5:$E$204,1)-1.5*(QUARTILE($E$5:$E$204,3)-QUARTILE($E$5:$E$204,1)),E118&gt;QUARTILE($E$5:$E$204,3)+1.5*(QUARTILE($E$5:$E$204,3)-QUARTILE($E$5:$E$204,1))),"Review","Within range")</f>
        <v/>
      </c>
      <c r="T118" s="6">
        <f>IF(COUNTBLANK(A118:E118)&gt;0,"Missing value",IF(COUNTIF(B118:E118,"&lt;0")&gt;0,"Negative value",IF(COUNTIF($A$5:$A$204,A118)&gt;1,"Duplicate market ID",IF(OR(P118="Review",Q118="Review",R118="Review",S118="Review"),"Review outlier","OK"))))</f>
        <v/>
      </c>
    </row>
    <row r="119">
      <c r="A119" s="6">
        <f>Raw_Data!A119</f>
        <v/>
      </c>
      <c r="B119" s="7">
        <f>Raw_Data!B119</f>
        <v/>
      </c>
      <c r="C119" s="7">
        <f>Raw_Data!C119</f>
        <v/>
      </c>
      <c r="D119" s="7">
        <f>Raw_Data!D119</f>
        <v/>
      </c>
      <c r="E119" s="7">
        <f>Raw_Data!E119</f>
        <v/>
      </c>
      <c r="F119" s="7">
        <f>SUM(B119:D119)</f>
        <v/>
      </c>
      <c r="G119" s="8">
        <f>IFERROR(B119/F119,0)</f>
        <v/>
      </c>
      <c r="H119" s="8">
        <f>IFERROR(C119/F119,0)</f>
        <v/>
      </c>
      <c r="I119" s="8">
        <f>IFERROR(D119/F119,0)</f>
        <v/>
      </c>
      <c r="J119" s="9">
        <f>IFERROR(E119/F119,0)</f>
        <v/>
      </c>
      <c r="K119" s="9">
        <f>IFERROR((B119-AVERAGE($B$5:$B$204))/STDEV($B$5:$B$204),0)</f>
        <v/>
      </c>
      <c r="L119" s="9">
        <f>IFERROR((C119-AVERAGE($C$5:$C$204))/STDEV($C$5:$C$204),0)</f>
        <v/>
      </c>
      <c r="M119" s="9">
        <f>IFERROR((D119-AVERAGE($D$5:$D$204))/STDEV($D$5:$D$204),0)</f>
        <v/>
      </c>
      <c r="N119" s="9">
        <f>IFERROR((E119-AVERAGE($E$5:$E$204))/STDEV($E$5:$E$204),0)</f>
        <v/>
      </c>
      <c r="O119" s="9">
        <f>IFERROR((F119-AVERAGE($F$5:$F$204))/STDEV($F$5:$F$204),0)</f>
        <v/>
      </c>
      <c r="P119" s="6">
        <f>IF(OR(B119&lt;QUARTILE($B$5:$B$204,1)-1.5*(QUARTILE($B$5:$B$204,3)-QUARTILE($B$5:$B$204,1)),B119&gt;QUARTILE($B$5:$B$204,3)+1.5*(QUARTILE($B$5:$B$204,3)-QUARTILE($B$5:$B$204,1))),"Review","Within range")</f>
        <v/>
      </c>
      <c r="Q119" s="6">
        <f>IF(OR(C119&lt;QUARTILE($C$5:$C$204,1)-1.5*(QUARTILE($C$5:$C$204,3)-QUARTILE($C$5:$C$204,1)),C119&gt;QUARTILE($C$5:$C$204,3)+1.5*(QUARTILE($C$5:$C$204,3)-QUARTILE($C$5:$C$204,1))),"Review","Within range")</f>
        <v/>
      </c>
      <c r="R119" s="6">
        <f>IF(OR(D119&lt;QUARTILE($D$5:$D$204,1)-1.5*(QUARTILE($D$5:$D$204,3)-QUARTILE($D$5:$D$204,1)),D119&gt;QUARTILE($D$5:$D$204,3)+1.5*(QUARTILE($D$5:$D$204,3)-QUARTILE($D$5:$D$204,1))),"Review","Within range")</f>
        <v/>
      </c>
      <c r="S119" s="6">
        <f>IF(OR(E119&lt;QUARTILE($E$5:$E$204,1)-1.5*(QUARTILE($E$5:$E$204,3)-QUARTILE($E$5:$E$204,1)),E119&gt;QUARTILE($E$5:$E$204,3)+1.5*(QUARTILE($E$5:$E$204,3)-QUARTILE($E$5:$E$204,1))),"Review","Within range")</f>
        <v/>
      </c>
      <c r="T119" s="6">
        <f>IF(COUNTBLANK(A119:E119)&gt;0,"Missing value",IF(COUNTIF(B119:E119,"&lt;0")&gt;0,"Negative value",IF(COUNTIF($A$5:$A$204,A119)&gt;1,"Duplicate market ID",IF(OR(P119="Review",Q119="Review",R119="Review",S119="Review"),"Review outlier","OK"))))</f>
        <v/>
      </c>
    </row>
    <row r="120">
      <c r="A120" s="6">
        <f>Raw_Data!A120</f>
        <v/>
      </c>
      <c r="B120" s="7">
        <f>Raw_Data!B120</f>
        <v/>
      </c>
      <c r="C120" s="7">
        <f>Raw_Data!C120</f>
        <v/>
      </c>
      <c r="D120" s="7">
        <f>Raw_Data!D120</f>
        <v/>
      </c>
      <c r="E120" s="7">
        <f>Raw_Data!E120</f>
        <v/>
      </c>
      <c r="F120" s="7">
        <f>SUM(B120:D120)</f>
        <v/>
      </c>
      <c r="G120" s="8">
        <f>IFERROR(B120/F120,0)</f>
        <v/>
      </c>
      <c r="H120" s="8">
        <f>IFERROR(C120/F120,0)</f>
        <v/>
      </c>
      <c r="I120" s="8">
        <f>IFERROR(D120/F120,0)</f>
        <v/>
      </c>
      <c r="J120" s="9">
        <f>IFERROR(E120/F120,0)</f>
        <v/>
      </c>
      <c r="K120" s="9">
        <f>IFERROR((B120-AVERAGE($B$5:$B$204))/STDEV($B$5:$B$204),0)</f>
        <v/>
      </c>
      <c r="L120" s="9">
        <f>IFERROR((C120-AVERAGE($C$5:$C$204))/STDEV($C$5:$C$204),0)</f>
        <v/>
      </c>
      <c r="M120" s="9">
        <f>IFERROR((D120-AVERAGE($D$5:$D$204))/STDEV($D$5:$D$204),0)</f>
        <v/>
      </c>
      <c r="N120" s="9">
        <f>IFERROR((E120-AVERAGE($E$5:$E$204))/STDEV($E$5:$E$204),0)</f>
        <v/>
      </c>
      <c r="O120" s="9">
        <f>IFERROR((F120-AVERAGE($F$5:$F$204))/STDEV($F$5:$F$204),0)</f>
        <v/>
      </c>
      <c r="P120" s="6">
        <f>IF(OR(B120&lt;QUARTILE($B$5:$B$204,1)-1.5*(QUARTILE($B$5:$B$204,3)-QUARTILE($B$5:$B$204,1)),B120&gt;QUARTILE($B$5:$B$204,3)+1.5*(QUARTILE($B$5:$B$204,3)-QUARTILE($B$5:$B$204,1))),"Review","Within range")</f>
        <v/>
      </c>
      <c r="Q120" s="6">
        <f>IF(OR(C120&lt;QUARTILE($C$5:$C$204,1)-1.5*(QUARTILE($C$5:$C$204,3)-QUARTILE($C$5:$C$204,1)),C120&gt;QUARTILE($C$5:$C$204,3)+1.5*(QUARTILE($C$5:$C$204,3)-QUARTILE($C$5:$C$204,1))),"Review","Within range")</f>
        <v/>
      </c>
      <c r="R120" s="6">
        <f>IF(OR(D120&lt;QUARTILE($D$5:$D$204,1)-1.5*(QUARTILE($D$5:$D$204,3)-QUARTILE($D$5:$D$204,1)),D120&gt;QUARTILE($D$5:$D$204,3)+1.5*(QUARTILE($D$5:$D$204,3)-QUARTILE($D$5:$D$204,1))),"Review","Within range")</f>
        <v/>
      </c>
      <c r="S120" s="6">
        <f>IF(OR(E120&lt;QUARTILE($E$5:$E$204,1)-1.5*(QUARTILE($E$5:$E$204,3)-QUARTILE($E$5:$E$204,1)),E120&gt;QUARTILE($E$5:$E$204,3)+1.5*(QUARTILE($E$5:$E$204,3)-QUARTILE($E$5:$E$204,1))),"Review","Within range")</f>
        <v/>
      </c>
      <c r="T120" s="6">
        <f>IF(COUNTBLANK(A120:E120)&gt;0,"Missing value",IF(COUNTIF(B120:E120,"&lt;0")&gt;0,"Negative value",IF(COUNTIF($A$5:$A$204,A120)&gt;1,"Duplicate market ID",IF(OR(P120="Review",Q120="Review",R120="Review",S120="Review"),"Review outlier","OK"))))</f>
        <v/>
      </c>
    </row>
    <row r="121">
      <c r="A121" s="6">
        <f>Raw_Data!A121</f>
        <v/>
      </c>
      <c r="B121" s="7">
        <f>Raw_Data!B121</f>
        <v/>
      </c>
      <c r="C121" s="7">
        <f>Raw_Data!C121</f>
        <v/>
      </c>
      <c r="D121" s="7">
        <f>Raw_Data!D121</f>
        <v/>
      </c>
      <c r="E121" s="7">
        <f>Raw_Data!E121</f>
        <v/>
      </c>
      <c r="F121" s="7">
        <f>SUM(B121:D121)</f>
        <v/>
      </c>
      <c r="G121" s="8">
        <f>IFERROR(B121/F121,0)</f>
        <v/>
      </c>
      <c r="H121" s="8">
        <f>IFERROR(C121/F121,0)</f>
        <v/>
      </c>
      <c r="I121" s="8">
        <f>IFERROR(D121/F121,0)</f>
        <v/>
      </c>
      <c r="J121" s="9">
        <f>IFERROR(E121/F121,0)</f>
        <v/>
      </c>
      <c r="K121" s="9">
        <f>IFERROR((B121-AVERAGE($B$5:$B$204))/STDEV($B$5:$B$204),0)</f>
        <v/>
      </c>
      <c r="L121" s="9">
        <f>IFERROR((C121-AVERAGE($C$5:$C$204))/STDEV($C$5:$C$204),0)</f>
        <v/>
      </c>
      <c r="M121" s="9">
        <f>IFERROR((D121-AVERAGE($D$5:$D$204))/STDEV($D$5:$D$204),0)</f>
        <v/>
      </c>
      <c r="N121" s="9">
        <f>IFERROR((E121-AVERAGE($E$5:$E$204))/STDEV($E$5:$E$204),0)</f>
        <v/>
      </c>
      <c r="O121" s="9">
        <f>IFERROR((F121-AVERAGE($F$5:$F$204))/STDEV($F$5:$F$204),0)</f>
        <v/>
      </c>
      <c r="P121" s="6">
        <f>IF(OR(B121&lt;QUARTILE($B$5:$B$204,1)-1.5*(QUARTILE($B$5:$B$204,3)-QUARTILE($B$5:$B$204,1)),B121&gt;QUARTILE($B$5:$B$204,3)+1.5*(QUARTILE($B$5:$B$204,3)-QUARTILE($B$5:$B$204,1))),"Review","Within range")</f>
        <v/>
      </c>
      <c r="Q121" s="6">
        <f>IF(OR(C121&lt;QUARTILE($C$5:$C$204,1)-1.5*(QUARTILE($C$5:$C$204,3)-QUARTILE($C$5:$C$204,1)),C121&gt;QUARTILE($C$5:$C$204,3)+1.5*(QUARTILE($C$5:$C$204,3)-QUARTILE($C$5:$C$204,1))),"Review","Within range")</f>
        <v/>
      </c>
      <c r="R121" s="6">
        <f>IF(OR(D121&lt;QUARTILE($D$5:$D$204,1)-1.5*(QUARTILE($D$5:$D$204,3)-QUARTILE($D$5:$D$204,1)),D121&gt;QUARTILE($D$5:$D$204,3)+1.5*(QUARTILE($D$5:$D$204,3)-QUARTILE($D$5:$D$204,1))),"Review","Within range")</f>
        <v/>
      </c>
      <c r="S121" s="6">
        <f>IF(OR(E121&lt;QUARTILE($E$5:$E$204,1)-1.5*(QUARTILE($E$5:$E$204,3)-QUARTILE($E$5:$E$204,1)),E121&gt;QUARTILE($E$5:$E$204,3)+1.5*(QUARTILE($E$5:$E$204,3)-QUARTILE($E$5:$E$204,1))),"Review","Within range")</f>
        <v/>
      </c>
      <c r="T121" s="6">
        <f>IF(COUNTBLANK(A121:E121)&gt;0,"Missing value",IF(COUNTIF(B121:E121,"&lt;0")&gt;0,"Negative value",IF(COUNTIF($A$5:$A$204,A121)&gt;1,"Duplicate market ID",IF(OR(P121="Review",Q121="Review",R121="Review",S121="Review"),"Review outlier","OK"))))</f>
        <v/>
      </c>
    </row>
    <row r="122">
      <c r="A122" s="6">
        <f>Raw_Data!A122</f>
        <v/>
      </c>
      <c r="B122" s="7">
        <f>Raw_Data!B122</f>
        <v/>
      </c>
      <c r="C122" s="7">
        <f>Raw_Data!C122</f>
        <v/>
      </c>
      <c r="D122" s="7">
        <f>Raw_Data!D122</f>
        <v/>
      </c>
      <c r="E122" s="7">
        <f>Raw_Data!E122</f>
        <v/>
      </c>
      <c r="F122" s="7">
        <f>SUM(B122:D122)</f>
        <v/>
      </c>
      <c r="G122" s="8">
        <f>IFERROR(B122/F122,0)</f>
        <v/>
      </c>
      <c r="H122" s="8">
        <f>IFERROR(C122/F122,0)</f>
        <v/>
      </c>
      <c r="I122" s="8">
        <f>IFERROR(D122/F122,0)</f>
        <v/>
      </c>
      <c r="J122" s="9">
        <f>IFERROR(E122/F122,0)</f>
        <v/>
      </c>
      <c r="K122" s="9">
        <f>IFERROR((B122-AVERAGE($B$5:$B$204))/STDEV($B$5:$B$204),0)</f>
        <v/>
      </c>
      <c r="L122" s="9">
        <f>IFERROR((C122-AVERAGE($C$5:$C$204))/STDEV($C$5:$C$204),0)</f>
        <v/>
      </c>
      <c r="M122" s="9">
        <f>IFERROR((D122-AVERAGE($D$5:$D$204))/STDEV($D$5:$D$204),0)</f>
        <v/>
      </c>
      <c r="N122" s="9">
        <f>IFERROR((E122-AVERAGE($E$5:$E$204))/STDEV($E$5:$E$204),0)</f>
        <v/>
      </c>
      <c r="O122" s="9">
        <f>IFERROR((F122-AVERAGE($F$5:$F$204))/STDEV($F$5:$F$204),0)</f>
        <v/>
      </c>
      <c r="P122" s="6">
        <f>IF(OR(B122&lt;QUARTILE($B$5:$B$204,1)-1.5*(QUARTILE($B$5:$B$204,3)-QUARTILE($B$5:$B$204,1)),B122&gt;QUARTILE($B$5:$B$204,3)+1.5*(QUARTILE($B$5:$B$204,3)-QUARTILE($B$5:$B$204,1))),"Review","Within range")</f>
        <v/>
      </c>
      <c r="Q122" s="6">
        <f>IF(OR(C122&lt;QUARTILE($C$5:$C$204,1)-1.5*(QUARTILE($C$5:$C$204,3)-QUARTILE($C$5:$C$204,1)),C122&gt;QUARTILE($C$5:$C$204,3)+1.5*(QUARTILE($C$5:$C$204,3)-QUARTILE($C$5:$C$204,1))),"Review","Within range")</f>
        <v/>
      </c>
      <c r="R122" s="6">
        <f>IF(OR(D122&lt;QUARTILE($D$5:$D$204,1)-1.5*(QUARTILE($D$5:$D$204,3)-QUARTILE($D$5:$D$204,1)),D122&gt;QUARTILE($D$5:$D$204,3)+1.5*(QUARTILE($D$5:$D$204,3)-QUARTILE($D$5:$D$204,1))),"Review","Within range")</f>
        <v/>
      </c>
      <c r="S122" s="6">
        <f>IF(OR(E122&lt;QUARTILE($E$5:$E$204,1)-1.5*(QUARTILE($E$5:$E$204,3)-QUARTILE($E$5:$E$204,1)),E122&gt;QUARTILE($E$5:$E$204,3)+1.5*(QUARTILE($E$5:$E$204,3)-QUARTILE($E$5:$E$204,1))),"Review","Within range")</f>
        <v/>
      </c>
      <c r="T122" s="6">
        <f>IF(COUNTBLANK(A122:E122)&gt;0,"Missing value",IF(COUNTIF(B122:E122,"&lt;0")&gt;0,"Negative value",IF(COUNTIF($A$5:$A$204,A122)&gt;1,"Duplicate market ID",IF(OR(P122="Review",Q122="Review",R122="Review",S122="Review"),"Review outlier","OK"))))</f>
        <v/>
      </c>
    </row>
    <row r="123">
      <c r="A123" s="6">
        <f>Raw_Data!A123</f>
        <v/>
      </c>
      <c r="B123" s="7">
        <f>Raw_Data!B123</f>
        <v/>
      </c>
      <c r="C123" s="7">
        <f>Raw_Data!C123</f>
        <v/>
      </c>
      <c r="D123" s="7">
        <f>Raw_Data!D123</f>
        <v/>
      </c>
      <c r="E123" s="7">
        <f>Raw_Data!E123</f>
        <v/>
      </c>
      <c r="F123" s="7">
        <f>SUM(B123:D123)</f>
        <v/>
      </c>
      <c r="G123" s="8">
        <f>IFERROR(B123/F123,0)</f>
        <v/>
      </c>
      <c r="H123" s="8">
        <f>IFERROR(C123/F123,0)</f>
        <v/>
      </c>
      <c r="I123" s="8">
        <f>IFERROR(D123/F123,0)</f>
        <v/>
      </c>
      <c r="J123" s="9">
        <f>IFERROR(E123/F123,0)</f>
        <v/>
      </c>
      <c r="K123" s="9">
        <f>IFERROR((B123-AVERAGE($B$5:$B$204))/STDEV($B$5:$B$204),0)</f>
        <v/>
      </c>
      <c r="L123" s="9">
        <f>IFERROR((C123-AVERAGE($C$5:$C$204))/STDEV($C$5:$C$204),0)</f>
        <v/>
      </c>
      <c r="M123" s="9">
        <f>IFERROR((D123-AVERAGE($D$5:$D$204))/STDEV($D$5:$D$204),0)</f>
        <v/>
      </c>
      <c r="N123" s="9">
        <f>IFERROR((E123-AVERAGE($E$5:$E$204))/STDEV($E$5:$E$204),0)</f>
        <v/>
      </c>
      <c r="O123" s="9">
        <f>IFERROR((F123-AVERAGE($F$5:$F$204))/STDEV($F$5:$F$204),0)</f>
        <v/>
      </c>
      <c r="P123" s="6">
        <f>IF(OR(B123&lt;QUARTILE($B$5:$B$204,1)-1.5*(QUARTILE($B$5:$B$204,3)-QUARTILE($B$5:$B$204,1)),B123&gt;QUARTILE($B$5:$B$204,3)+1.5*(QUARTILE($B$5:$B$204,3)-QUARTILE($B$5:$B$204,1))),"Review","Within range")</f>
        <v/>
      </c>
      <c r="Q123" s="6">
        <f>IF(OR(C123&lt;QUARTILE($C$5:$C$204,1)-1.5*(QUARTILE($C$5:$C$204,3)-QUARTILE($C$5:$C$204,1)),C123&gt;QUARTILE($C$5:$C$204,3)+1.5*(QUARTILE($C$5:$C$204,3)-QUARTILE($C$5:$C$204,1))),"Review","Within range")</f>
        <v/>
      </c>
      <c r="R123" s="6">
        <f>IF(OR(D123&lt;QUARTILE($D$5:$D$204,1)-1.5*(QUARTILE($D$5:$D$204,3)-QUARTILE($D$5:$D$204,1)),D123&gt;QUARTILE($D$5:$D$204,3)+1.5*(QUARTILE($D$5:$D$204,3)-QUARTILE($D$5:$D$204,1))),"Review","Within range")</f>
        <v/>
      </c>
      <c r="S123" s="6">
        <f>IF(OR(E123&lt;QUARTILE($E$5:$E$204,1)-1.5*(QUARTILE($E$5:$E$204,3)-QUARTILE($E$5:$E$204,1)),E123&gt;QUARTILE($E$5:$E$204,3)+1.5*(QUARTILE($E$5:$E$204,3)-QUARTILE($E$5:$E$204,1))),"Review","Within range")</f>
        <v/>
      </c>
      <c r="T123" s="6">
        <f>IF(COUNTBLANK(A123:E123)&gt;0,"Missing value",IF(COUNTIF(B123:E123,"&lt;0")&gt;0,"Negative value",IF(COUNTIF($A$5:$A$204,A123)&gt;1,"Duplicate market ID",IF(OR(P123="Review",Q123="Review",R123="Review",S123="Review"),"Review outlier","OK"))))</f>
        <v/>
      </c>
    </row>
    <row r="124">
      <c r="A124" s="6">
        <f>Raw_Data!A124</f>
        <v/>
      </c>
      <c r="B124" s="7">
        <f>Raw_Data!B124</f>
        <v/>
      </c>
      <c r="C124" s="7">
        <f>Raw_Data!C124</f>
        <v/>
      </c>
      <c r="D124" s="7">
        <f>Raw_Data!D124</f>
        <v/>
      </c>
      <c r="E124" s="7">
        <f>Raw_Data!E124</f>
        <v/>
      </c>
      <c r="F124" s="7">
        <f>SUM(B124:D124)</f>
        <v/>
      </c>
      <c r="G124" s="8">
        <f>IFERROR(B124/F124,0)</f>
        <v/>
      </c>
      <c r="H124" s="8">
        <f>IFERROR(C124/F124,0)</f>
        <v/>
      </c>
      <c r="I124" s="8">
        <f>IFERROR(D124/F124,0)</f>
        <v/>
      </c>
      <c r="J124" s="9">
        <f>IFERROR(E124/F124,0)</f>
        <v/>
      </c>
      <c r="K124" s="9">
        <f>IFERROR((B124-AVERAGE($B$5:$B$204))/STDEV($B$5:$B$204),0)</f>
        <v/>
      </c>
      <c r="L124" s="9">
        <f>IFERROR((C124-AVERAGE($C$5:$C$204))/STDEV($C$5:$C$204),0)</f>
        <v/>
      </c>
      <c r="M124" s="9">
        <f>IFERROR((D124-AVERAGE($D$5:$D$204))/STDEV($D$5:$D$204),0)</f>
        <v/>
      </c>
      <c r="N124" s="9">
        <f>IFERROR((E124-AVERAGE($E$5:$E$204))/STDEV($E$5:$E$204),0)</f>
        <v/>
      </c>
      <c r="O124" s="9">
        <f>IFERROR((F124-AVERAGE($F$5:$F$204))/STDEV($F$5:$F$204),0)</f>
        <v/>
      </c>
      <c r="P124" s="6">
        <f>IF(OR(B124&lt;QUARTILE($B$5:$B$204,1)-1.5*(QUARTILE($B$5:$B$204,3)-QUARTILE($B$5:$B$204,1)),B124&gt;QUARTILE($B$5:$B$204,3)+1.5*(QUARTILE($B$5:$B$204,3)-QUARTILE($B$5:$B$204,1))),"Review","Within range")</f>
        <v/>
      </c>
      <c r="Q124" s="6">
        <f>IF(OR(C124&lt;QUARTILE($C$5:$C$204,1)-1.5*(QUARTILE($C$5:$C$204,3)-QUARTILE($C$5:$C$204,1)),C124&gt;QUARTILE($C$5:$C$204,3)+1.5*(QUARTILE($C$5:$C$204,3)-QUARTILE($C$5:$C$204,1))),"Review","Within range")</f>
        <v/>
      </c>
      <c r="R124" s="6">
        <f>IF(OR(D124&lt;QUARTILE($D$5:$D$204,1)-1.5*(QUARTILE($D$5:$D$204,3)-QUARTILE($D$5:$D$204,1)),D124&gt;QUARTILE($D$5:$D$204,3)+1.5*(QUARTILE($D$5:$D$204,3)-QUARTILE($D$5:$D$204,1))),"Review","Within range")</f>
        <v/>
      </c>
      <c r="S124" s="6">
        <f>IF(OR(E124&lt;QUARTILE($E$5:$E$204,1)-1.5*(QUARTILE($E$5:$E$204,3)-QUARTILE($E$5:$E$204,1)),E124&gt;QUARTILE($E$5:$E$204,3)+1.5*(QUARTILE($E$5:$E$204,3)-QUARTILE($E$5:$E$204,1))),"Review","Within range")</f>
        <v/>
      </c>
      <c r="T124" s="6">
        <f>IF(COUNTBLANK(A124:E124)&gt;0,"Missing value",IF(COUNTIF(B124:E124,"&lt;0")&gt;0,"Negative value",IF(COUNTIF($A$5:$A$204,A124)&gt;1,"Duplicate market ID",IF(OR(P124="Review",Q124="Review",R124="Review",S124="Review"),"Review outlier","OK"))))</f>
        <v/>
      </c>
    </row>
    <row r="125">
      <c r="A125" s="6">
        <f>Raw_Data!A125</f>
        <v/>
      </c>
      <c r="B125" s="7">
        <f>Raw_Data!B125</f>
        <v/>
      </c>
      <c r="C125" s="7">
        <f>Raw_Data!C125</f>
        <v/>
      </c>
      <c r="D125" s="7">
        <f>Raw_Data!D125</f>
        <v/>
      </c>
      <c r="E125" s="7">
        <f>Raw_Data!E125</f>
        <v/>
      </c>
      <c r="F125" s="7">
        <f>SUM(B125:D125)</f>
        <v/>
      </c>
      <c r="G125" s="8">
        <f>IFERROR(B125/F125,0)</f>
        <v/>
      </c>
      <c r="H125" s="8">
        <f>IFERROR(C125/F125,0)</f>
        <v/>
      </c>
      <c r="I125" s="8">
        <f>IFERROR(D125/F125,0)</f>
        <v/>
      </c>
      <c r="J125" s="9">
        <f>IFERROR(E125/F125,0)</f>
        <v/>
      </c>
      <c r="K125" s="9">
        <f>IFERROR((B125-AVERAGE($B$5:$B$204))/STDEV($B$5:$B$204),0)</f>
        <v/>
      </c>
      <c r="L125" s="9">
        <f>IFERROR((C125-AVERAGE($C$5:$C$204))/STDEV($C$5:$C$204),0)</f>
        <v/>
      </c>
      <c r="M125" s="9">
        <f>IFERROR((D125-AVERAGE($D$5:$D$204))/STDEV($D$5:$D$204),0)</f>
        <v/>
      </c>
      <c r="N125" s="9">
        <f>IFERROR((E125-AVERAGE($E$5:$E$204))/STDEV($E$5:$E$204),0)</f>
        <v/>
      </c>
      <c r="O125" s="9">
        <f>IFERROR((F125-AVERAGE($F$5:$F$204))/STDEV($F$5:$F$204),0)</f>
        <v/>
      </c>
      <c r="P125" s="6">
        <f>IF(OR(B125&lt;QUARTILE($B$5:$B$204,1)-1.5*(QUARTILE($B$5:$B$204,3)-QUARTILE($B$5:$B$204,1)),B125&gt;QUARTILE($B$5:$B$204,3)+1.5*(QUARTILE($B$5:$B$204,3)-QUARTILE($B$5:$B$204,1))),"Review","Within range")</f>
        <v/>
      </c>
      <c r="Q125" s="6">
        <f>IF(OR(C125&lt;QUARTILE($C$5:$C$204,1)-1.5*(QUARTILE($C$5:$C$204,3)-QUARTILE($C$5:$C$204,1)),C125&gt;QUARTILE($C$5:$C$204,3)+1.5*(QUARTILE($C$5:$C$204,3)-QUARTILE($C$5:$C$204,1))),"Review","Within range")</f>
        <v/>
      </c>
      <c r="R125" s="6">
        <f>IF(OR(D125&lt;QUARTILE($D$5:$D$204,1)-1.5*(QUARTILE($D$5:$D$204,3)-QUARTILE($D$5:$D$204,1)),D125&gt;QUARTILE($D$5:$D$204,3)+1.5*(QUARTILE($D$5:$D$204,3)-QUARTILE($D$5:$D$204,1))),"Review","Within range")</f>
        <v/>
      </c>
      <c r="S125" s="6">
        <f>IF(OR(E125&lt;QUARTILE($E$5:$E$204,1)-1.5*(QUARTILE($E$5:$E$204,3)-QUARTILE($E$5:$E$204,1)),E125&gt;QUARTILE($E$5:$E$204,3)+1.5*(QUARTILE($E$5:$E$204,3)-QUARTILE($E$5:$E$204,1))),"Review","Within range")</f>
        <v/>
      </c>
      <c r="T125" s="6">
        <f>IF(COUNTBLANK(A125:E125)&gt;0,"Missing value",IF(COUNTIF(B125:E125,"&lt;0")&gt;0,"Negative value",IF(COUNTIF($A$5:$A$204,A125)&gt;1,"Duplicate market ID",IF(OR(P125="Review",Q125="Review",R125="Review",S125="Review"),"Review outlier","OK"))))</f>
        <v/>
      </c>
    </row>
    <row r="126">
      <c r="A126" s="6">
        <f>Raw_Data!A126</f>
        <v/>
      </c>
      <c r="B126" s="7">
        <f>Raw_Data!B126</f>
        <v/>
      </c>
      <c r="C126" s="7">
        <f>Raw_Data!C126</f>
        <v/>
      </c>
      <c r="D126" s="7">
        <f>Raw_Data!D126</f>
        <v/>
      </c>
      <c r="E126" s="7">
        <f>Raw_Data!E126</f>
        <v/>
      </c>
      <c r="F126" s="7">
        <f>SUM(B126:D126)</f>
        <v/>
      </c>
      <c r="G126" s="8">
        <f>IFERROR(B126/F126,0)</f>
        <v/>
      </c>
      <c r="H126" s="8">
        <f>IFERROR(C126/F126,0)</f>
        <v/>
      </c>
      <c r="I126" s="8">
        <f>IFERROR(D126/F126,0)</f>
        <v/>
      </c>
      <c r="J126" s="9">
        <f>IFERROR(E126/F126,0)</f>
        <v/>
      </c>
      <c r="K126" s="9">
        <f>IFERROR((B126-AVERAGE($B$5:$B$204))/STDEV($B$5:$B$204),0)</f>
        <v/>
      </c>
      <c r="L126" s="9">
        <f>IFERROR((C126-AVERAGE($C$5:$C$204))/STDEV($C$5:$C$204),0)</f>
        <v/>
      </c>
      <c r="M126" s="9">
        <f>IFERROR((D126-AVERAGE($D$5:$D$204))/STDEV($D$5:$D$204),0)</f>
        <v/>
      </c>
      <c r="N126" s="9">
        <f>IFERROR((E126-AVERAGE($E$5:$E$204))/STDEV($E$5:$E$204),0)</f>
        <v/>
      </c>
      <c r="O126" s="9">
        <f>IFERROR((F126-AVERAGE($F$5:$F$204))/STDEV($F$5:$F$204),0)</f>
        <v/>
      </c>
      <c r="P126" s="6">
        <f>IF(OR(B126&lt;QUARTILE($B$5:$B$204,1)-1.5*(QUARTILE($B$5:$B$204,3)-QUARTILE($B$5:$B$204,1)),B126&gt;QUARTILE($B$5:$B$204,3)+1.5*(QUARTILE($B$5:$B$204,3)-QUARTILE($B$5:$B$204,1))),"Review","Within range")</f>
        <v/>
      </c>
      <c r="Q126" s="6">
        <f>IF(OR(C126&lt;QUARTILE($C$5:$C$204,1)-1.5*(QUARTILE($C$5:$C$204,3)-QUARTILE($C$5:$C$204,1)),C126&gt;QUARTILE($C$5:$C$204,3)+1.5*(QUARTILE($C$5:$C$204,3)-QUARTILE($C$5:$C$204,1))),"Review","Within range")</f>
        <v/>
      </c>
      <c r="R126" s="6">
        <f>IF(OR(D126&lt;QUARTILE($D$5:$D$204,1)-1.5*(QUARTILE($D$5:$D$204,3)-QUARTILE($D$5:$D$204,1)),D126&gt;QUARTILE($D$5:$D$204,3)+1.5*(QUARTILE($D$5:$D$204,3)-QUARTILE($D$5:$D$204,1))),"Review","Within range")</f>
        <v/>
      </c>
      <c r="S126" s="6">
        <f>IF(OR(E126&lt;QUARTILE($E$5:$E$204,1)-1.5*(QUARTILE($E$5:$E$204,3)-QUARTILE($E$5:$E$204,1)),E126&gt;QUARTILE($E$5:$E$204,3)+1.5*(QUARTILE($E$5:$E$204,3)-QUARTILE($E$5:$E$204,1))),"Review","Within range")</f>
        <v/>
      </c>
      <c r="T126" s="6">
        <f>IF(COUNTBLANK(A126:E126)&gt;0,"Missing value",IF(COUNTIF(B126:E126,"&lt;0")&gt;0,"Negative value",IF(COUNTIF($A$5:$A$204,A126)&gt;1,"Duplicate market ID",IF(OR(P126="Review",Q126="Review",R126="Review",S126="Review"),"Review outlier","OK"))))</f>
        <v/>
      </c>
    </row>
    <row r="127">
      <c r="A127" s="6">
        <f>Raw_Data!A127</f>
        <v/>
      </c>
      <c r="B127" s="7">
        <f>Raw_Data!B127</f>
        <v/>
      </c>
      <c r="C127" s="7">
        <f>Raw_Data!C127</f>
        <v/>
      </c>
      <c r="D127" s="7">
        <f>Raw_Data!D127</f>
        <v/>
      </c>
      <c r="E127" s="7">
        <f>Raw_Data!E127</f>
        <v/>
      </c>
      <c r="F127" s="7">
        <f>SUM(B127:D127)</f>
        <v/>
      </c>
      <c r="G127" s="8">
        <f>IFERROR(B127/F127,0)</f>
        <v/>
      </c>
      <c r="H127" s="8">
        <f>IFERROR(C127/F127,0)</f>
        <v/>
      </c>
      <c r="I127" s="8">
        <f>IFERROR(D127/F127,0)</f>
        <v/>
      </c>
      <c r="J127" s="9">
        <f>IFERROR(E127/F127,0)</f>
        <v/>
      </c>
      <c r="K127" s="9">
        <f>IFERROR((B127-AVERAGE($B$5:$B$204))/STDEV($B$5:$B$204),0)</f>
        <v/>
      </c>
      <c r="L127" s="9">
        <f>IFERROR((C127-AVERAGE($C$5:$C$204))/STDEV($C$5:$C$204),0)</f>
        <v/>
      </c>
      <c r="M127" s="9">
        <f>IFERROR((D127-AVERAGE($D$5:$D$204))/STDEV($D$5:$D$204),0)</f>
        <v/>
      </c>
      <c r="N127" s="9">
        <f>IFERROR((E127-AVERAGE($E$5:$E$204))/STDEV($E$5:$E$204),0)</f>
        <v/>
      </c>
      <c r="O127" s="9">
        <f>IFERROR((F127-AVERAGE($F$5:$F$204))/STDEV($F$5:$F$204),0)</f>
        <v/>
      </c>
      <c r="P127" s="6">
        <f>IF(OR(B127&lt;QUARTILE($B$5:$B$204,1)-1.5*(QUARTILE($B$5:$B$204,3)-QUARTILE($B$5:$B$204,1)),B127&gt;QUARTILE($B$5:$B$204,3)+1.5*(QUARTILE($B$5:$B$204,3)-QUARTILE($B$5:$B$204,1))),"Review","Within range")</f>
        <v/>
      </c>
      <c r="Q127" s="6">
        <f>IF(OR(C127&lt;QUARTILE($C$5:$C$204,1)-1.5*(QUARTILE($C$5:$C$204,3)-QUARTILE($C$5:$C$204,1)),C127&gt;QUARTILE($C$5:$C$204,3)+1.5*(QUARTILE($C$5:$C$204,3)-QUARTILE($C$5:$C$204,1))),"Review","Within range")</f>
        <v/>
      </c>
      <c r="R127" s="6">
        <f>IF(OR(D127&lt;QUARTILE($D$5:$D$204,1)-1.5*(QUARTILE($D$5:$D$204,3)-QUARTILE($D$5:$D$204,1)),D127&gt;QUARTILE($D$5:$D$204,3)+1.5*(QUARTILE($D$5:$D$204,3)-QUARTILE($D$5:$D$204,1))),"Review","Within range")</f>
        <v/>
      </c>
      <c r="S127" s="6">
        <f>IF(OR(E127&lt;QUARTILE($E$5:$E$204,1)-1.5*(QUARTILE($E$5:$E$204,3)-QUARTILE($E$5:$E$204,1)),E127&gt;QUARTILE($E$5:$E$204,3)+1.5*(QUARTILE($E$5:$E$204,3)-QUARTILE($E$5:$E$204,1))),"Review","Within range")</f>
        <v/>
      </c>
      <c r="T127" s="6">
        <f>IF(COUNTBLANK(A127:E127)&gt;0,"Missing value",IF(COUNTIF(B127:E127,"&lt;0")&gt;0,"Negative value",IF(COUNTIF($A$5:$A$204,A127)&gt;1,"Duplicate market ID",IF(OR(P127="Review",Q127="Review",R127="Review",S127="Review"),"Review outlier","OK"))))</f>
        <v/>
      </c>
    </row>
    <row r="128">
      <c r="A128" s="6">
        <f>Raw_Data!A128</f>
        <v/>
      </c>
      <c r="B128" s="7">
        <f>Raw_Data!B128</f>
        <v/>
      </c>
      <c r="C128" s="7">
        <f>Raw_Data!C128</f>
        <v/>
      </c>
      <c r="D128" s="7">
        <f>Raw_Data!D128</f>
        <v/>
      </c>
      <c r="E128" s="7">
        <f>Raw_Data!E128</f>
        <v/>
      </c>
      <c r="F128" s="7">
        <f>SUM(B128:D128)</f>
        <v/>
      </c>
      <c r="G128" s="8">
        <f>IFERROR(B128/F128,0)</f>
        <v/>
      </c>
      <c r="H128" s="8">
        <f>IFERROR(C128/F128,0)</f>
        <v/>
      </c>
      <c r="I128" s="8">
        <f>IFERROR(D128/F128,0)</f>
        <v/>
      </c>
      <c r="J128" s="9">
        <f>IFERROR(E128/F128,0)</f>
        <v/>
      </c>
      <c r="K128" s="9">
        <f>IFERROR((B128-AVERAGE($B$5:$B$204))/STDEV($B$5:$B$204),0)</f>
        <v/>
      </c>
      <c r="L128" s="9">
        <f>IFERROR((C128-AVERAGE($C$5:$C$204))/STDEV($C$5:$C$204),0)</f>
        <v/>
      </c>
      <c r="M128" s="9">
        <f>IFERROR((D128-AVERAGE($D$5:$D$204))/STDEV($D$5:$D$204),0)</f>
        <v/>
      </c>
      <c r="N128" s="9">
        <f>IFERROR((E128-AVERAGE($E$5:$E$204))/STDEV($E$5:$E$204),0)</f>
        <v/>
      </c>
      <c r="O128" s="9">
        <f>IFERROR((F128-AVERAGE($F$5:$F$204))/STDEV($F$5:$F$204),0)</f>
        <v/>
      </c>
      <c r="P128" s="6">
        <f>IF(OR(B128&lt;QUARTILE($B$5:$B$204,1)-1.5*(QUARTILE($B$5:$B$204,3)-QUARTILE($B$5:$B$204,1)),B128&gt;QUARTILE($B$5:$B$204,3)+1.5*(QUARTILE($B$5:$B$204,3)-QUARTILE($B$5:$B$204,1))),"Review","Within range")</f>
        <v/>
      </c>
      <c r="Q128" s="6">
        <f>IF(OR(C128&lt;QUARTILE($C$5:$C$204,1)-1.5*(QUARTILE($C$5:$C$204,3)-QUARTILE($C$5:$C$204,1)),C128&gt;QUARTILE($C$5:$C$204,3)+1.5*(QUARTILE($C$5:$C$204,3)-QUARTILE($C$5:$C$204,1))),"Review","Within range")</f>
        <v/>
      </c>
      <c r="R128" s="6">
        <f>IF(OR(D128&lt;QUARTILE($D$5:$D$204,1)-1.5*(QUARTILE($D$5:$D$204,3)-QUARTILE($D$5:$D$204,1)),D128&gt;QUARTILE($D$5:$D$204,3)+1.5*(QUARTILE($D$5:$D$204,3)-QUARTILE($D$5:$D$204,1))),"Review","Within range")</f>
        <v/>
      </c>
      <c r="S128" s="6">
        <f>IF(OR(E128&lt;QUARTILE($E$5:$E$204,1)-1.5*(QUARTILE($E$5:$E$204,3)-QUARTILE($E$5:$E$204,1)),E128&gt;QUARTILE($E$5:$E$204,3)+1.5*(QUARTILE($E$5:$E$204,3)-QUARTILE($E$5:$E$204,1))),"Review","Within range")</f>
        <v/>
      </c>
      <c r="T128" s="6">
        <f>IF(COUNTBLANK(A128:E128)&gt;0,"Missing value",IF(COUNTIF(B128:E128,"&lt;0")&gt;0,"Negative value",IF(COUNTIF($A$5:$A$204,A128)&gt;1,"Duplicate market ID",IF(OR(P128="Review",Q128="Review",R128="Review",S128="Review"),"Review outlier","OK"))))</f>
        <v/>
      </c>
    </row>
    <row r="129">
      <c r="A129" s="6">
        <f>Raw_Data!A129</f>
        <v/>
      </c>
      <c r="B129" s="7">
        <f>Raw_Data!B129</f>
        <v/>
      </c>
      <c r="C129" s="7">
        <f>Raw_Data!C129</f>
        <v/>
      </c>
      <c r="D129" s="7">
        <f>Raw_Data!D129</f>
        <v/>
      </c>
      <c r="E129" s="7">
        <f>Raw_Data!E129</f>
        <v/>
      </c>
      <c r="F129" s="7">
        <f>SUM(B129:D129)</f>
        <v/>
      </c>
      <c r="G129" s="8">
        <f>IFERROR(B129/F129,0)</f>
        <v/>
      </c>
      <c r="H129" s="8">
        <f>IFERROR(C129/F129,0)</f>
        <v/>
      </c>
      <c r="I129" s="8">
        <f>IFERROR(D129/F129,0)</f>
        <v/>
      </c>
      <c r="J129" s="9">
        <f>IFERROR(E129/F129,0)</f>
        <v/>
      </c>
      <c r="K129" s="9">
        <f>IFERROR((B129-AVERAGE($B$5:$B$204))/STDEV($B$5:$B$204),0)</f>
        <v/>
      </c>
      <c r="L129" s="9">
        <f>IFERROR((C129-AVERAGE($C$5:$C$204))/STDEV($C$5:$C$204),0)</f>
        <v/>
      </c>
      <c r="M129" s="9">
        <f>IFERROR((D129-AVERAGE($D$5:$D$204))/STDEV($D$5:$D$204),0)</f>
        <v/>
      </c>
      <c r="N129" s="9">
        <f>IFERROR((E129-AVERAGE($E$5:$E$204))/STDEV($E$5:$E$204),0)</f>
        <v/>
      </c>
      <c r="O129" s="9">
        <f>IFERROR((F129-AVERAGE($F$5:$F$204))/STDEV($F$5:$F$204),0)</f>
        <v/>
      </c>
      <c r="P129" s="6">
        <f>IF(OR(B129&lt;QUARTILE($B$5:$B$204,1)-1.5*(QUARTILE($B$5:$B$204,3)-QUARTILE($B$5:$B$204,1)),B129&gt;QUARTILE($B$5:$B$204,3)+1.5*(QUARTILE($B$5:$B$204,3)-QUARTILE($B$5:$B$204,1))),"Review","Within range")</f>
        <v/>
      </c>
      <c r="Q129" s="6">
        <f>IF(OR(C129&lt;QUARTILE($C$5:$C$204,1)-1.5*(QUARTILE($C$5:$C$204,3)-QUARTILE($C$5:$C$204,1)),C129&gt;QUARTILE($C$5:$C$204,3)+1.5*(QUARTILE($C$5:$C$204,3)-QUARTILE($C$5:$C$204,1))),"Review","Within range")</f>
        <v/>
      </c>
      <c r="R129" s="6">
        <f>IF(OR(D129&lt;QUARTILE($D$5:$D$204,1)-1.5*(QUARTILE($D$5:$D$204,3)-QUARTILE($D$5:$D$204,1)),D129&gt;QUARTILE($D$5:$D$204,3)+1.5*(QUARTILE($D$5:$D$204,3)-QUARTILE($D$5:$D$204,1))),"Review","Within range")</f>
        <v/>
      </c>
      <c r="S129" s="6">
        <f>IF(OR(E129&lt;QUARTILE($E$5:$E$204,1)-1.5*(QUARTILE($E$5:$E$204,3)-QUARTILE($E$5:$E$204,1)),E129&gt;QUARTILE($E$5:$E$204,3)+1.5*(QUARTILE($E$5:$E$204,3)-QUARTILE($E$5:$E$204,1))),"Review","Within range")</f>
        <v/>
      </c>
      <c r="T129" s="6">
        <f>IF(COUNTBLANK(A129:E129)&gt;0,"Missing value",IF(COUNTIF(B129:E129,"&lt;0")&gt;0,"Negative value",IF(COUNTIF($A$5:$A$204,A129)&gt;1,"Duplicate market ID",IF(OR(P129="Review",Q129="Review",R129="Review",S129="Review"),"Review outlier","OK"))))</f>
        <v/>
      </c>
    </row>
    <row r="130">
      <c r="A130" s="6">
        <f>Raw_Data!A130</f>
        <v/>
      </c>
      <c r="B130" s="7">
        <f>Raw_Data!B130</f>
        <v/>
      </c>
      <c r="C130" s="7">
        <f>Raw_Data!C130</f>
        <v/>
      </c>
      <c r="D130" s="7">
        <f>Raw_Data!D130</f>
        <v/>
      </c>
      <c r="E130" s="7">
        <f>Raw_Data!E130</f>
        <v/>
      </c>
      <c r="F130" s="7">
        <f>SUM(B130:D130)</f>
        <v/>
      </c>
      <c r="G130" s="8">
        <f>IFERROR(B130/F130,0)</f>
        <v/>
      </c>
      <c r="H130" s="8">
        <f>IFERROR(C130/F130,0)</f>
        <v/>
      </c>
      <c r="I130" s="8">
        <f>IFERROR(D130/F130,0)</f>
        <v/>
      </c>
      <c r="J130" s="9">
        <f>IFERROR(E130/F130,0)</f>
        <v/>
      </c>
      <c r="K130" s="9">
        <f>IFERROR((B130-AVERAGE($B$5:$B$204))/STDEV($B$5:$B$204),0)</f>
        <v/>
      </c>
      <c r="L130" s="9">
        <f>IFERROR((C130-AVERAGE($C$5:$C$204))/STDEV($C$5:$C$204),0)</f>
        <v/>
      </c>
      <c r="M130" s="9">
        <f>IFERROR((D130-AVERAGE($D$5:$D$204))/STDEV($D$5:$D$204),0)</f>
        <v/>
      </c>
      <c r="N130" s="9">
        <f>IFERROR((E130-AVERAGE($E$5:$E$204))/STDEV($E$5:$E$204),0)</f>
        <v/>
      </c>
      <c r="O130" s="9">
        <f>IFERROR((F130-AVERAGE($F$5:$F$204))/STDEV($F$5:$F$204),0)</f>
        <v/>
      </c>
      <c r="P130" s="6">
        <f>IF(OR(B130&lt;QUARTILE($B$5:$B$204,1)-1.5*(QUARTILE($B$5:$B$204,3)-QUARTILE($B$5:$B$204,1)),B130&gt;QUARTILE($B$5:$B$204,3)+1.5*(QUARTILE($B$5:$B$204,3)-QUARTILE($B$5:$B$204,1))),"Review","Within range")</f>
        <v/>
      </c>
      <c r="Q130" s="6">
        <f>IF(OR(C130&lt;QUARTILE($C$5:$C$204,1)-1.5*(QUARTILE($C$5:$C$204,3)-QUARTILE($C$5:$C$204,1)),C130&gt;QUARTILE($C$5:$C$204,3)+1.5*(QUARTILE($C$5:$C$204,3)-QUARTILE($C$5:$C$204,1))),"Review","Within range")</f>
        <v/>
      </c>
      <c r="R130" s="6">
        <f>IF(OR(D130&lt;QUARTILE($D$5:$D$204,1)-1.5*(QUARTILE($D$5:$D$204,3)-QUARTILE($D$5:$D$204,1)),D130&gt;QUARTILE($D$5:$D$204,3)+1.5*(QUARTILE($D$5:$D$204,3)-QUARTILE($D$5:$D$204,1))),"Review","Within range")</f>
        <v/>
      </c>
      <c r="S130" s="6">
        <f>IF(OR(E130&lt;QUARTILE($E$5:$E$204,1)-1.5*(QUARTILE($E$5:$E$204,3)-QUARTILE($E$5:$E$204,1)),E130&gt;QUARTILE($E$5:$E$204,3)+1.5*(QUARTILE($E$5:$E$204,3)-QUARTILE($E$5:$E$204,1))),"Review","Within range")</f>
        <v/>
      </c>
      <c r="T130" s="6">
        <f>IF(COUNTBLANK(A130:E130)&gt;0,"Missing value",IF(COUNTIF(B130:E130,"&lt;0")&gt;0,"Negative value",IF(COUNTIF($A$5:$A$204,A130)&gt;1,"Duplicate market ID",IF(OR(P130="Review",Q130="Review",R130="Review",S130="Review"),"Review outlier","OK"))))</f>
        <v/>
      </c>
    </row>
    <row r="131">
      <c r="A131" s="6">
        <f>Raw_Data!A131</f>
        <v/>
      </c>
      <c r="B131" s="7">
        <f>Raw_Data!B131</f>
        <v/>
      </c>
      <c r="C131" s="7">
        <f>Raw_Data!C131</f>
        <v/>
      </c>
      <c r="D131" s="7">
        <f>Raw_Data!D131</f>
        <v/>
      </c>
      <c r="E131" s="7">
        <f>Raw_Data!E131</f>
        <v/>
      </c>
      <c r="F131" s="7">
        <f>SUM(B131:D131)</f>
        <v/>
      </c>
      <c r="G131" s="8">
        <f>IFERROR(B131/F131,0)</f>
        <v/>
      </c>
      <c r="H131" s="8">
        <f>IFERROR(C131/F131,0)</f>
        <v/>
      </c>
      <c r="I131" s="8">
        <f>IFERROR(D131/F131,0)</f>
        <v/>
      </c>
      <c r="J131" s="9">
        <f>IFERROR(E131/F131,0)</f>
        <v/>
      </c>
      <c r="K131" s="9">
        <f>IFERROR((B131-AVERAGE($B$5:$B$204))/STDEV($B$5:$B$204),0)</f>
        <v/>
      </c>
      <c r="L131" s="9">
        <f>IFERROR((C131-AVERAGE($C$5:$C$204))/STDEV($C$5:$C$204),0)</f>
        <v/>
      </c>
      <c r="M131" s="9">
        <f>IFERROR((D131-AVERAGE($D$5:$D$204))/STDEV($D$5:$D$204),0)</f>
        <v/>
      </c>
      <c r="N131" s="9">
        <f>IFERROR((E131-AVERAGE($E$5:$E$204))/STDEV($E$5:$E$204),0)</f>
        <v/>
      </c>
      <c r="O131" s="9">
        <f>IFERROR((F131-AVERAGE($F$5:$F$204))/STDEV($F$5:$F$204),0)</f>
        <v/>
      </c>
      <c r="P131" s="6">
        <f>IF(OR(B131&lt;QUARTILE($B$5:$B$204,1)-1.5*(QUARTILE($B$5:$B$204,3)-QUARTILE($B$5:$B$204,1)),B131&gt;QUARTILE($B$5:$B$204,3)+1.5*(QUARTILE($B$5:$B$204,3)-QUARTILE($B$5:$B$204,1))),"Review","Within range")</f>
        <v/>
      </c>
      <c r="Q131" s="6">
        <f>IF(OR(C131&lt;QUARTILE($C$5:$C$204,1)-1.5*(QUARTILE($C$5:$C$204,3)-QUARTILE($C$5:$C$204,1)),C131&gt;QUARTILE($C$5:$C$204,3)+1.5*(QUARTILE($C$5:$C$204,3)-QUARTILE($C$5:$C$204,1))),"Review","Within range")</f>
        <v/>
      </c>
      <c r="R131" s="6">
        <f>IF(OR(D131&lt;QUARTILE($D$5:$D$204,1)-1.5*(QUARTILE($D$5:$D$204,3)-QUARTILE($D$5:$D$204,1)),D131&gt;QUARTILE($D$5:$D$204,3)+1.5*(QUARTILE($D$5:$D$204,3)-QUARTILE($D$5:$D$204,1))),"Review","Within range")</f>
        <v/>
      </c>
      <c r="S131" s="6">
        <f>IF(OR(E131&lt;QUARTILE($E$5:$E$204,1)-1.5*(QUARTILE($E$5:$E$204,3)-QUARTILE($E$5:$E$204,1)),E131&gt;QUARTILE($E$5:$E$204,3)+1.5*(QUARTILE($E$5:$E$204,3)-QUARTILE($E$5:$E$204,1))),"Review","Within range")</f>
        <v/>
      </c>
      <c r="T131" s="6">
        <f>IF(COUNTBLANK(A131:E131)&gt;0,"Missing value",IF(COUNTIF(B131:E131,"&lt;0")&gt;0,"Negative value",IF(COUNTIF($A$5:$A$204,A131)&gt;1,"Duplicate market ID",IF(OR(P131="Review",Q131="Review",R131="Review",S131="Review"),"Review outlier","OK"))))</f>
        <v/>
      </c>
    </row>
    <row r="132">
      <c r="A132" s="6">
        <f>Raw_Data!A132</f>
        <v/>
      </c>
      <c r="B132" s="7">
        <f>Raw_Data!B132</f>
        <v/>
      </c>
      <c r="C132" s="7">
        <f>Raw_Data!C132</f>
        <v/>
      </c>
      <c r="D132" s="7">
        <f>Raw_Data!D132</f>
        <v/>
      </c>
      <c r="E132" s="7">
        <f>Raw_Data!E132</f>
        <v/>
      </c>
      <c r="F132" s="7">
        <f>SUM(B132:D132)</f>
        <v/>
      </c>
      <c r="G132" s="8">
        <f>IFERROR(B132/F132,0)</f>
        <v/>
      </c>
      <c r="H132" s="8">
        <f>IFERROR(C132/F132,0)</f>
        <v/>
      </c>
      <c r="I132" s="8">
        <f>IFERROR(D132/F132,0)</f>
        <v/>
      </c>
      <c r="J132" s="9">
        <f>IFERROR(E132/F132,0)</f>
        <v/>
      </c>
      <c r="K132" s="9">
        <f>IFERROR((B132-AVERAGE($B$5:$B$204))/STDEV($B$5:$B$204),0)</f>
        <v/>
      </c>
      <c r="L132" s="9">
        <f>IFERROR((C132-AVERAGE($C$5:$C$204))/STDEV($C$5:$C$204),0)</f>
        <v/>
      </c>
      <c r="M132" s="9">
        <f>IFERROR((D132-AVERAGE($D$5:$D$204))/STDEV($D$5:$D$204),0)</f>
        <v/>
      </c>
      <c r="N132" s="9">
        <f>IFERROR((E132-AVERAGE($E$5:$E$204))/STDEV($E$5:$E$204),0)</f>
        <v/>
      </c>
      <c r="O132" s="9">
        <f>IFERROR((F132-AVERAGE($F$5:$F$204))/STDEV($F$5:$F$204),0)</f>
        <v/>
      </c>
      <c r="P132" s="6">
        <f>IF(OR(B132&lt;QUARTILE($B$5:$B$204,1)-1.5*(QUARTILE($B$5:$B$204,3)-QUARTILE($B$5:$B$204,1)),B132&gt;QUARTILE($B$5:$B$204,3)+1.5*(QUARTILE($B$5:$B$204,3)-QUARTILE($B$5:$B$204,1))),"Review","Within range")</f>
        <v/>
      </c>
      <c r="Q132" s="6">
        <f>IF(OR(C132&lt;QUARTILE($C$5:$C$204,1)-1.5*(QUARTILE($C$5:$C$204,3)-QUARTILE($C$5:$C$204,1)),C132&gt;QUARTILE($C$5:$C$204,3)+1.5*(QUARTILE($C$5:$C$204,3)-QUARTILE($C$5:$C$204,1))),"Review","Within range")</f>
        <v/>
      </c>
      <c r="R132" s="6">
        <f>IF(OR(D132&lt;QUARTILE($D$5:$D$204,1)-1.5*(QUARTILE($D$5:$D$204,3)-QUARTILE($D$5:$D$204,1)),D132&gt;QUARTILE($D$5:$D$204,3)+1.5*(QUARTILE($D$5:$D$204,3)-QUARTILE($D$5:$D$204,1))),"Review","Within range")</f>
        <v/>
      </c>
      <c r="S132" s="6">
        <f>IF(OR(E132&lt;QUARTILE($E$5:$E$204,1)-1.5*(QUARTILE($E$5:$E$204,3)-QUARTILE($E$5:$E$204,1)),E132&gt;QUARTILE($E$5:$E$204,3)+1.5*(QUARTILE($E$5:$E$204,3)-QUARTILE($E$5:$E$204,1))),"Review","Within range")</f>
        <v/>
      </c>
      <c r="T132" s="6">
        <f>IF(COUNTBLANK(A132:E132)&gt;0,"Missing value",IF(COUNTIF(B132:E132,"&lt;0")&gt;0,"Negative value",IF(COUNTIF($A$5:$A$204,A132)&gt;1,"Duplicate market ID",IF(OR(P132="Review",Q132="Review",R132="Review",S132="Review"),"Review outlier","OK"))))</f>
        <v/>
      </c>
    </row>
    <row r="133">
      <c r="A133" s="6">
        <f>Raw_Data!A133</f>
        <v/>
      </c>
      <c r="B133" s="7">
        <f>Raw_Data!B133</f>
        <v/>
      </c>
      <c r="C133" s="7">
        <f>Raw_Data!C133</f>
        <v/>
      </c>
      <c r="D133" s="7">
        <f>Raw_Data!D133</f>
        <v/>
      </c>
      <c r="E133" s="7">
        <f>Raw_Data!E133</f>
        <v/>
      </c>
      <c r="F133" s="7">
        <f>SUM(B133:D133)</f>
        <v/>
      </c>
      <c r="G133" s="8">
        <f>IFERROR(B133/F133,0)</f>
        <v/>
      </c>
      <c r="H133" s="8">
        <f>IFERROR(C133/F133,0)</f>
        <v/>
      </c>
      <c r="I133" s="8">
        <f>IFERROR(D133/F133,0)</f>
        <v/>
      </c>
      <c r="J133" s="9">
        <f>IFERROR(E133/F133,0)</f>
        <v/>
      </c>
      <c r="K133" s="9">
        <f>IFERROR((B133-AVERAGE($B$5:$B$204))/STDEV($B$5:$B$204),0)</f>
        <v/>
      </c>
      <c r="L133" s="9">
        <f>IFERROR((C133-AVERAGE($C$5:$C$204))/STDEV($C$5:$C$204),0)</f>
        <v/>
      </c>
      <c r="M133" s="9">
        <f>IFERROR((D133-AVERAGE($D$5:$D$204))/STDEV($D$5:$D$204),0)</f>
        <v/>
      </c>
      <c r="N133" s="9">
        <f>IFERROR((E133-AVERAGE($E$5:$E$204))/STDEV($E$5:$E$204),0)</f>
        <v/>
      </c>
      <c r="O133" s="9">
        <f>IFERROR((F133-AVERAGE($F$5:$F$204))/STDEV($F$5:$F$204),0)</f>
        <v/>
      </c>
      <c r="P133" s="6">
        <f>IF(OR(B133&lt;QUARTILE($B$5:$B$204,1)-1.5*(QUARTILE($B$5:$B$204,3)-QUARTILE($B$5:$B$204,1)),B133&gt;QUARTILE($B$5:$B$204,3)+1.5*(QUARTILE($B$5:$B$204,3)-QUARTILE($B$5:$B$204,1))),"Review","Within range")</f>
        <v/>
      </c>
      <c r="Q133" s="6">
        <f>IF(OR(C133&lt;QUARTILE($C$5:$C$204,1)-1.5*(QUARTILE($C$5:$C$204,3)-QUARTILE($C$5:$C$204,1)),C133&gt;QUARTILE($C$5:$C$204,3)+1.5*(QUARTILE($C$5:$C$204,3)-QUARTILE($C$5:$C$204,1))),"Review","Within range")</f>
        <v/>
      </c>
      <c r="R133" s="6">
        <f>IF(OR(D133&lt;QUARTILE($D$5:$D$204,1)-1.5*(QUARTILE($D$5:$D$204,3)-QUARTILE($D$5:$D$204,1)),D133&gt;QUARTILE($D$5:$D$204,3)+1.5*(QUARTILE($D$5:$D$204,3)-QUARTILE($D$5:$D$204,1))),"Review","Within range")</f>
        <v/>
      </c>
      <c r="S133" s="6">
        <f>IF(OR(E133&lt;QUARTILE($E$5:$E$204,1)-1.5*(QUARTILE($E$5:$E$204,3)-QUARTILE($E$5:$E$204,1)),E133&gt;QUARTILE($E$5:$E$204,3)+1.5*(QUARTILE($E$5:$E$204,3)-QUARTILE($E$5:$E$204,1))),"Review","Within range")</f>
        <v/>
      </c>
      <c r="T133" s="6">
        <f>IF(COUNTBLANK(A133:E133)&gt;0,"Missing value",IF(COUNTIF(B133:E133,"&lt;0")&gt;0,"Negative value",IF(COUNTIF($A$5:$A$204,A133)&gt;1,"Duplicate market ID",IF(OR(P133="Review",Q133="Review",R133="Review",S133="Review"),"Review outlier","OK"))))</f>
        <v/>
      </c>
    </row>
    <row r="134">
      <c r="A134" s="6">
        <f>Raw_Data!A134</f>
        <v/>
      </c>
      <c r="B134" s="7">
        <f>Raw_Data!B134</f>
        <v/>
      </c>
      <c r="C134" s="7">
        <f>Raw_Data!C134</f>
        <v/>
      </c>
      <c r="D134" s="7">
        <f>Raw_Data!D134</f>
        <v/>
      </c>
      <c r="E134" s="7">
        <f>Raw_Data!E134</f>
        <v/>
      </c>
      <c r="F134" s="7">
        <f>SUM(B134:D134)</f>
        <v/>
      </c>
      <c r="G134" s="8">
        <f>IFERROR(B134/F134,0)</f>
        <v/>
      </c>
      <c r="H134" s="8">
        <f>IFERROR(C134/F134,0)</f>
        <v/>
      </c>
      <c r="I134" s="8">
        <f>IFERROR(D134/F134,0)</f>
        <v/>
      </c>
      <c r="J134" s="9">
        <f>IFERROR(E134/F134,0)</f>
        <v/>
      </c>
      <c r="K134" s="9">
        <f>IFERROR((B134-AVERAGE($B$5:$B$204))/STDEV($B$5:$B$204),0)</f>
        <v/>
      </c>
      <c r="L134" s="9">
        <f>IFERROR((C134-AVERAGE($C$5:$C$204))/STDEV($C$5:$C$204),0)</f>
        <v/>
      </c>
      <c r="M134" s="9">
        <f>IFERROR((D134-AVERAGE($D$5:$D$204))/STDEV($D$5:$D$204),0)</f>
        <v/>
      </c>
      <c r="N134" s="9">
        <f>IFERROR((E134-AVERAGE($E$5:$E$204))/STDEV($E$5:$E$204),0)</f>
        <v/>
      </c>
      <c r="O134" s="9">
        <f>IFERROR((F134-AVERAGE($F$5:$F$204))/STDEV($F$5:$F$204),0)</f>
        <v/>
      </c>
      <c r="P134" s="6">
        <f>IF(OR(B134&lt;QUARTILE($B$5:$B$204,1)-1.5*(QUARTILE($B$5:$B$204,3)-QUARTILE($B$5:$B$204,1)),B134&gt;QUARTILE($B$5:$B$204,3)+1.5*(QUARTILE($B$5:$B$204,3)-QUARTILE($B$5:$B$204,1))),"Review","Within range")</f>
        <v/>
      </c>
      <c r="Q134" s="6">
        <f>IF(OR(C134&lt;QUARTILE($C$5:$C$204,1)-1.5*(QUARTILE($C$5:$C$204,3)-QUARTILE($C$5:$C$204,1)),C134&gt;QUARTILE($C$5:$C$204,3)+1.5*(QUARTILE($C$5:$C$204,3)-QUARTILE($C$5:$C$204,1))),"Review","Within range")</f>
        <v/>
      </c>
      <c r="R134" s="6">
        <f>IF(OR(D134&lt;QUARTILE($D$5:$D$204,1)-1.5*(QUARTILE($D$5:$D$204,3)-QUARTILE($D$5:$D$204,1)),D134&gt;QUARTILE($D$5:$D$204,3)+1.5*(QUARTILE($D$5:$D$204,3)-QUARTILE($D$5:$D$204,1))),"Review","Within range")</f>
        <v/>
      </c>
      <c r="S134" s="6">
        <f>IF(OR(E134&lt;QUARTILE($E$5:$E$204,1)-1.5*(QUARTILE($E$5:$E$204,3)-QUARTILE($E$5:$E$204,1)),E134&gt;QUARTILE($E$5:$E$204,3)+1.5*(QUARTILE($E$5:$E$204,3)-QUARTILE($E$5:$E$204,1))),"Review","Within range")</f>
        <v/>
      </c>
      <c r="T134" s="6">
        <f>IF(COUNTBLANK(A134:E134)&gt;0,"Missing value",IF(COUNTIF(B134:E134,"&lt;0")&gt;0,"Negative value",IF(COUNTIF($A$5:$A$204,A134)&gt;1,"Duplicate market ID",IF(OR(P134="Review",Q134="Review",R134="Review",S134="Review"),"Review outlier","OK"))))</f>
        <v/>
      </c>
    </row>
    <row r="135">
      <c r="A135" s="6">
        <f>Raw_Data!A135</f>
        <v/>
      </c>
      <c r="B135" s="7">
        <f>Raw_Data!B135</f>
        <v/>
      </c>
      <c r="C135" s="7">
        <f>Raw_Data!C135</f>
        <v/>
      </c>
      <c r="D135" s="7">
        <f>Raw_Data!D135</f>
        <v/>
      </c>
      <c r="E135" s="7">
        <f>Raw_Data!E135</f>
        <v/>
      </c>
      <c r="F135" s="7">
        <f>SUM(B135:D135)</f>
        <v/>
      </c>
      <c r="G135" s="8">
        <f>IFERROR(B135/F135,0)</f>
        <v/>
      </c>
      <c r="H135" s="8">
        <f>IFERROR(C135/F135,0)</f>
        <v/>
      </c>
      <c r="I135" s="8">
        <f>IFERROR(D135/F135,0)</f>
        <v/>
      </c>
      <c r="J135" s="9">
        <f>IFERROR(E135/F135,0)</f>
        <v/>
      </c>
      <c r="K135" s="9">
        <f>IFERROR((B135-AVERAGE($B$5:$B$204))/STDEV($B$5:$B$204),0)</f>
        <v/>
      </c>
      <c r="L135" s="9">
        <f>IFERROR((C135-AVERAGE($C$5:$C$204))/STDEV($C$5:$C$204),0)</f>
        <v/>
      </c>
      <c r="M135" s="9">
        <f>IFERROR((D135-AVERAGE($D$5:$D$204))/STDEV($D$5:$D$204),0)</f>
        <v/>
      </c>
      <c r="N135" s="9">
        <f>IFERROR((E135-AVERAGE($E$5:$E$204))/STDEV($E$5:$E$204),0)</f>
        <v/>
      </c>
      <c r="O135" s="9">
        <f>IFERROR((F135-AVERAGE($F$5:$F$204))/STDEV($F$5:$F$204),0)</f>
        <v/>
      </c>
      <c r="P135" s="6">
        <f>IF(OR(B135&lt;QUARTILE($B$5:$B$204,1)-1.5*(QUARTILE($B$5:$B$204,3)-QUARTILE($B$5:$B$204,1)),B135&gt;QUARTILE($B$5:$B$204,3)+1.5*(QUARTILE($B$5:$B$204,3)-QUARTILE($B$5:$B$204,1))),"Review","Within range")</f>
        <v/>
      </c>
      <c r="Q135" s="6">
        <f>IF(OR(C135&lt;QUARTILE($C$5:$C$204,1)-1.5*(QUARTILE($C$5:$C$204,3)-QUARTILE($C$5:$C$204,1)),C135&gt;QUARTILE($C$5:$C$204,3)+1.5*(QUARTILE($C$5:$C$204,3)-QUARTILE($C$5:$C$204,1))),"Review","Within range")</f>
        <v/>
      </c>
      <c r="R135" s="6">
        <f>IF(OR(D135&lt;QUARTILE($D$5:$D$204,1)-1.5*(QUARTILE($D$5:$D$204,3)-QUARTILE($D$5:$D$204,1)),D135&gt;QUARTILE($D$5:$D$204,3)+1.5*(QUARTILE($D$5:$D$204,3)-QUARTILE($D$5:$D$204,1))),"Review","Within range")</f>
        <v/>
      </c>
      <c r="S135" s="6">
        <f>IF(OR(E135&lt;QUARTILE($E$5:$E$204,1)-1.5*(QUARTILE($E$5:$E$204,3)-QUARTILE($E$5:$E$204,1)),E135&gt;QUARTILE($E$5:$E$204,3)+1.5*(QUARTILE($E$5:$E$204,3)-QUARTILE($E$5:$E$204,1))),"Review","Within range")</f>
        <v/>
      </c>
      <c r="T135" s="6">
        <f>IF(COUNTBLANK(A135:E135)&gt;0,"Missing value",IF(COUNTIF(B135:E135,"&lt;0")&gt;0,"Negative value",IF(COUNTIF($A$5:$A$204,A135)&gt;1,"Duplicate market ID",IF(OR(P135="Review",Q135="Review",R135="Review",S135="Review"),"Review outlier","OK"))))</f>
        <v/>
      </c>
    </row>
    <row r="136">
      <c r="A136" s="6">
        <f>Raw_Data!A136</f>
        <v/>
      </c>
      <c r="B136" s="7">
        <f>Raw_Data!B136</f>
        <v/>
      </c>
      <c r="C136" s="7">
        <f>Raw_Data!C136</f>
        <v/>
      </c>
      <c r="D136" s="7">
        <f>Raw_Data!D136</f>
        <v/>
      </c>
      <c r="E136" s="7">
        <f>Raw_Data!E136</f>
        <v/>
      </c>
      <c r="F136" s="7">
        <f>SUM(B136:D136)</f>
        <v/>
      </c>
      <c r="G136" s="8">
        <f>IFERROR(B136/F136,0)</f>
        <v/>
      </c>
      <c r="H136" s="8">
        <f>IFERROR(C136/F136,0)</f>
        <v/>
      </c>
      <c r="I136" s="8">
        <f>IFERROR(D136/F136,0)</f>
        <v/>
      </c>
      <c r="J136" s="9">
        <f>IFERROR(E136/F136,0)</f>
        <v/>
      </c>
      <c r="K136" s="9">
        <f>IFERROR((B136-AVERAGE($B$5:$B$204))/STDEV($B$5:$B$204),0)</f>
        <v/>
      </c>
      <c r="L136" s="9">
        <f>IFERROR((C136-AVERAGE($C$5:$C$204))/STDEV($C$5:$C$204),0)</f>
        <v/>
      </c>
      <c r="M136" s="9">
        <f>IFERROR((D136-AVERAGE($D$5:$D$204))/STDEV($D$5:$D$204),0)</f>
        <v/>
      </c>
      <c r="N136" s="9">
        <f>IFERROR((E136-AVERAGE($E$5:$E$204))/STDEV($E$5:$E$204),0)</f>
        <v/>
      </c>
      <c r="O136" s="9">
        <f>IFERROR((F136-AVERAGE($F$5:$F$204))/STDEV($F$5:$F$204),0)</f>
        <v/>
      </c>
      <c r="P136" s="6">
        <f>IF(OR(B136&lt;QUARTILE($B$5:$B$204,1)-1.5*(QUARTILE($B$5:$B$204,3)-QUARTILE($B$5:$B$204,1)),B136&gt;QUARTILE($B$5:$B$204,3)+1.5*(QUARTILE($B$5:$B$204,3)-QUARTILE($B$5:$B$204,1))),"Review","Within range")</f>
        <v/>
      </c>
      <c r="Q136" s="6">
        <f>IF(OR(C136&lt;QUARTILE($C$5:$C$204,1)-1.5*(QUARTILE($C$5:$C$204,3)-QUARTILE($C$5:$C$204,1)),C136&gt;QUARTILE($C$5:$C$204,3)+1.5*(QUARTILE($C$5:$C$204,3)-QUARTILE($C$5:$C$204,1))),"Review","Within range")</f>
        <v/>
      </c>
      <c r="R136" s="6">
        <f>IF(OR(D136&lt;QUARTILE($D$5:$D$204,1)-1.5*(QUARTILE($D$5:$D$204,3)-QUARTILE($D$5:$D$204,1)),D136&gt;QUARTILE($D$5:$D$204,3)+1.5*(QUARTILE($D$5:$D$204,3)-QUARTILE($D$5:$D$204,1))),"Review","Within range")</f>
        <v/>
      </c>
      <c r="S136" s="6">
        <f>IF(OR(E136&lt;QUARTILE($E$5:$E$204,1)-1.5*(QUARTILE($E$5:$E$204,3)-QUARTILE($E$5:$E$204,1)),E136&gt;QUARTILE($E$5:$E$204,3)+1.5*(QUARTILE($E$5:$E$204,3)-QUARTILE($E$5:$E$204,1))),"Review","Within range")</f>
        <v/>
      </c>
      <c r="T136" s="6">
        <f>IF(COUNTBLANK(A136:E136)&gt;0,"Missing value",IF(COUNTIF(B136:E136,"&lt;0")&gt;0,"Negative value",IF(COUNTIF($A$5:$A$204,A136)&gt;1,"Duplicate market ID",IF(OR(P136="Review",Q136="Review",R136="Review",S136="Review"),"Review outlier","OK"))))</f>
        <v/>
      </c>
    </row>
    <row r="137">
      <c r="A137" s="6">
        <f>Raw_Data!A137</f>
        <v/>
      </c>
      <c r="B137" s="7">
        <f>Raw_Data!B137</f>
        <v/>
      </c>
      <c r="C137" s="7">
        <f>Raw_Data!C137</f>
        <v/>
      </c>
      <c r="D137" s="7">
        <f>Raw_Data!D137</f>
        <v/>
      </c>
      <c r="E137" s="7">
        <f>Raw_Data!E137</f>
        <v/>
      </c>
      <c r="F137" s="7">
        <f>SUM(B137:D137)</f>
        <v/>
      </c>
      <c r="G137" s="8">
        <f>IFERROR(B137/F137,0)</f>
        <v/>
      </c>
      <c r="H137" s="8">
        <f>IFERROR(C137/F137,0)</f>
        <v/>
      </c>
      <c r="I137" s="8">
        <f>IFERROR(D137/F137,0)</f>
        <v/>
      </c>
      <c r="J137" s="9">
        <f>IFERROR(E137/F137,0)</f>
        <v/>
      </c>
      <c r="K137" s="9">
        <f>IFERROR((B137-AVERAGE($B$5:$B$204))/STDEV($B$5:$B$204),0)</f>
        <v/>
      </c>
      <c r="L137" s="9">
        <f>IFERROR((C137-AVERAGE($C$5:$C$204))/STDEV($C$5:$C$204),0)</f>
        <v/>
      </c>
      <c r="M137" s="9">
        <f>IFERROR((D137-AVERAGE($D$5:$D$204))/STDEV($D$5:$D$204),0)</f>
        <v/>
      </c>
      <c r="N137" s="9">
        <f>IFERROR((E137-AVERAGE($E$5:$E$204))/STDEV($E$5:$E$204),0)</f>
        <v/>
      </c>
      <c r="O137" s="9">
        <f>IFERROR((F137-AVERAGE($F$5:$F$204))/STDEV($F$5:$F$204),0)</f>
        <v/>
      </c>
      <c r="P137" s="6">
        <f>IF(OR(B137&lt;QUARTILE($B$5:$B$204,1)-1.5*(QUARTILE($B$5:$B$204,3)-QUARTILE($B$5:$B$204,1)),B137&gt;QUARTILE($B$5:$B$204,3)+1.5*(QUARTILE($B$5:$B$204,3)-QUARTILE($B$5:$B$204,1))),"Review","Within range")</f>
        <v/>
      </c>
      <c r="Q137" s="6">
        <f>IF(OR(C137&lt;QUARTILE($C$5:$C$204,1)-1.5*(QUARTILE($C$5:$C$204,3)-QUARTILE($C$5:$C$204,1)),C137&gt;QUARTILE($C$5:$C$204,3)+1.5*(QUARTILE($C$5:$C$204,3)-QUARTILE($C$5:$C$204,1))),"Review","Within range")</f>
        <v/>
      </c>
      <c r="R137" s="6">
        <f>IF(OR(D137&lt;QUARTILE($D$5:$D$204,1)-1.5*(QUARTILE($D$5:$D$204,3)-QUARTILE($D$5:$D$204,1)),D137&gt;QUARTILE($D$5:$D$204,3)+1.5*(QUARTILE($D$5:$D$204,3)-QUARTILE($D$5:$D$204,1))),"Review","Within range")</f>
        <v/>
      </c>
      <c r="S137" s="6">
        <f>IF(OR(E137&lt;QUARTILE($E$5:$E$204,1)-1.5*(QUARTILE($E$5:$E$204,3)-QUARTILE($E$5:$E$204,1)),E137&gt;QUARTILE($E$5:$E$204,3)+1.5*(QUARTILE($E$5:$E$204,3)-QUARTILE($E$5:$E$204,1))),"Review","Within range")</f>
        <v/>
      </c>
      <c r="T137" s="6">
        <f>IF(COUNTBLANK(A137:E137)&gt;0,"Missing value",IF(COUNTIF(B137:E137,"&lt;0")&gt;0,"Negative value",IF(COUNTIF($A$5:$A$204,A137)&gt;1,"Duplicate market ID",IF(OR(P137="Review",Q137="Review",R137="Review",S137="Review"),"Review outlier","OK"))))</f>
        <v/>
      </c>
    </row>
    <row r="138">
      <c r="A138" s="6">
        <f>Raw_Data!A138</f>
        <v/>
      </c>
      <c r="B138" s="7">
        <f>Raw_Data!B138</f>
        <v/>
      </c>
      <c r="C138" s="7">
        <f>Raw_Data!C138</f>
        <v/>
      </c>
      <c r="D138" s="7">
        <f>Raw_Data!D138</f>
        <v/>
      </c>
      <c r="E138" s="7">
        <f>Raw_Data!E138</f>
        <v/>
      </c>
      <c r="F138" s="7">
        <f>SUM(B138:D138)</f>
        <v/>
      </c>
      <c r="G138" s="8">
        <f>IFERROR(B138/F138,0)</f>
        <v/>
      </c>
      <c r="H138" s="8">
        <f>IFERROR(C138/F138,0)</f>
        <v/>
      </c>
      <c r="I138" s="8">
        <f>IFERROR(D138/F138,0)</f>
        <v/>
      </c>
      <c r="J138" s="9">
        <f>IFERROR(E138/F138,0)</f>
        <v/>
      </c>
      <c r="K138" s="9">
        <f>IFERROR((B138-AVERAGE($B$5:$B$204))/STDEV($B$5:$B$204),0)</f>
        <v/>
      </c>
      <c r="L138" s="9">
        <f>IFERROR((C138-AVERAGE($C$5:$C$204))/STDEV($C$5:$C$204),0)</f>
        <v/>
      </c>
      <c r="M138" s="9">
        <f>IFERROR((D138-AVERAGE($D$5:$D$204))/STDEV($D$5:$D$204),0)</f>
        <v/>
      </c>
      <c r="N138" s="9">
        <f>IFERROR((E138-AVERAGE($E$5:$E$204))/STDEV($E$5:$E$204),0)</f>
        <v/>
      </c>
      <c r="O138" s="9">
        <f>IFERROR((F138-AVERAGE($F$5:$F$204))/STDEV($F$5:$F$204),0)</f>
        <v/>
      </c>
      <c r="P138" s="6">
        <f>IF(OR(B138&lt;QUARTILE($B$5:$B$204,1)-1.5*(QUARTILE($B$5:$B$204,3)-QUARTILE($B$5:$B$204,1)),B138&gt;QUARTILE($B$5:$B$204,3)+1.5*(QUARTILE($B$5:$B$204,3)-QUARTILE($B$5:$B$204,1))),"Review","Within range")</f>
        <v/>
      </c>
      <c r="Q138" s="6">
        <f>IF(OR(C138&lt;QUARTILE($C$5:$C$204,1)-1.5*(QUARTILE($C$5:$C$204,3)-QUARTILE($C$5:$C$204,1)),C138&gt;QUARTILE($C$5:$C$204,3)+1.5*(QUARTILE($C$5:$C$204,3)-QUARTILE($C$5:$C$204,1))),"Review","Within range")</f>
        <v/>
      </c>
      <c r="R138" s="6">
        <f>IF(OR(D138&lt;QUARTILE($D$5:$D$204,1)-1.5*(QUARTILE($D$5:$D$204,3)-QUARTILE($D$5:$D$204,1)),D138&gt;QUARTILE($D$5:$D$204,3)+1.5*(QUARTILE($D$5:$D$204,3)-QUARTILE($D$5:$D$204,1))),"Review","Within range")</f>
        <v/>
      </c>
      <c r="S138" s="6">
        <f>IF(OR(E138&lt;QUARTILE($E$5:$E$204,1)-1.5*(QUARTILE($E$5:$E$204,3)-QUARTILE($E$5:$E$204,1)),E138&gt;QUARTILE($E$5:$E$204,3)+1.5*(QUARTILE($E$5:$E$204,3)-QUARTILE($E$5:$E$204,1))),"Review","Within range")</f>
        <v/>
      </c>
      <c r="T138" s="6">
        <f>IF(COUNTBLANK(A138:E138)&gt;0,"Missing value",IF(COUNTIF(B138:E138,"&lt;0")&gt;0,"Negative value",IF(COUNTIF($A$5:$A$204,A138)&gt;1,"Duplicate market ID",IF(OR(P138="Review",Q138="Review",R138="Review",S138="Review"),"Review outlier","OK"))))</f>
        <v/>
      </c>
    </row>
    <row r="139">
      <c r="A139" s="6">
        <f>Raw_Data!A139</f>
        <v/>
      </c>
      <c r="B139" s="7">
        <f>Raw_Data!B139</f>
        <v/>
      </c>
      <c r="C139" s="7">
        <f>Raw_Data!C139</f>
        <v/>
      </c>
      <c r="D139" s="7">
        <f>Raw_Data!D139</f>
        <v/>
      </c>
      <c r="E139" s="7">
        <f>Raw_Data!E139</f>
        <v/>
      </c>
      <c r="F139" s="7">
        <f>SUM(B139:D139)</f>
        <v/>
      </c>
      <c r="G139" s="8">
        <f>IFERROR(B139/F139,0)</f>
        <v/>
      </c>
      <c r="H139" s="8">
        <f>IFERROR(C139/F139,0)</f>
        <v/>
      </c>
      <c r="I139" s="8">
        <f>IFERROR(D139/F139,0)</f>
        <v/>
      </c>
      <c r="J139" s="9">
        <f>IFERROR(E139/F139,0)</f>
        <v/>
      </c>
      <c r="K139" s="9">
        <f>IFERROR((B139-AVERAGE($B$5:$B$204))/STDEV($B$5:$B$204),0)</f>
        <v/>
      </c>
      <c r="L139" s="9">
        <f>IFERROR((C139-AVERAGE($C$5:$C$204))/STDEV($C$5:$C$204),0)</f>
        <v/>
      </c>
      <c r="M139" s="9">
        <f>IFERROR((D139-AVERAGE($D$5:$D$204))/STDEV($D$5:$D$204),0)</f>
        <v/>
      </c>
      <c r="N139" s="9">
        <f>IFERROR((E139-AVERAGE($E$5:$E$204))/STDEV($E$5:$E$204),0)</f>
        <v/>
      </c>
      <c r="O139" s="9">
        <f>IFERROR((F139-AVERAGE($F$5:$F$204))/STDEV($F$5:$F$204),0)</f>
        <v/>
      </c>
      <c r="P139" s="6">
        <f>IF(OR(B139&lt;QUARTILE($B$5:$B$204,1)-1.5*(QUARTILE($B$5:$B$204,3)-QUARTILE($B$5:$B$204,1)),B139&gt;QUARTILE($B$5:$B$204,3)+1.5*(QUARTILE($B$5:$B$204,3)-QUARTILE($B$5:$B$204,1))),"Review","Within range")</f>
        <v/>
      </c>
      <c r="Q139" s="6">
        <f>IF(OR(C139&lt;QUARTILE($C$5:$C$204,1)-1.5*(QUARTILE($C$5:$C$204,3)-QUARTILE($C$5:$C$204,1)),C139&gt;QUARTILE($C$5:$C$204,3)+1.5*(QUARTILE($C$5:$C$204,3)-QUARTILE($C$5:$C$204,1))),"Review","Within range")</f>
        <v/>
      </c>
      <c r="R139" s="6">
        <f>IF(OR(D139&lt;QUARTILE($D$5:$D$204,1)-1.5*(QUARTILE($D$5:$D$204,3)-QUARTILE($D$5:$D$204,1)),D139&gt;QUARTILE($D$5:$D$204,3)+1.5*(QUARTILE($D$5:$D$204,3)-QUARTILE($D$5:$D$204,1))),"Review","Within range")</f>
        <v/>
      </c>
      <c r="S139" s="6">
        <f>IF(OR(E139&lt;QUARTILE($E$5:$E$204,1)-1.5*(QUARTILE($E$5:$E$204,3)-QUARTILE($E$5:$E$204,1)),E139&gt;QUARTILE($E$5:$E$204,3)+1.5*(QUARTILE($E$5:$E$204,3)-QUARTILE($E$5:$E$204,1))),"Review","Within range")</f>
        <v/>
      </c>
      <c r="T139" s="6">
        <f>IF(COUNTBLANK(A139:E139)&gt;0,"Missing value",IF(COUNTIF(B139:E139,"&lt;0")&gt;0,"Negative value",IF(COUNTIF($A$5:$A$204,A139)&gt;1,"Duplicate market ID",IF(OR(P139="Review",Q139="Review",R139="Review",S139="Review"),"Review outlier","OK"))))</f>
        <v/>
      </c>
    </row>
    <row r="140">
      <c r="A140" s="6">
        <f>Raw_Data!A140</f>
        <v/>
      </c>
      <c r="B140" s="7">
        <f>Raw_Data!B140</f>
        <v/>
      </c>
      <c r="C140" s="7">
        <f>Raw_Data!C140</f>
        <v/>
      </c>
      <c r="D140" s="7">
        <f>Raw_Data!D140</f>
        <v/>
      </c>
      <c r="E140" s="7">
        <f>Raw_Data!E140</f>
        <v/>
      </c>
      <c r="F140" s="7">
        <f>SUM(B140:D140)</f>
        <v/>
      </c>
      <c r="G140" s="8">
        <f>IFERROR(B140/F140,0)</f>
        <v/>
      </c>
      <c r="H140" s="8">
        <f>IFERROR(C140/F140,0)</f>
        <v/>
      </c>
      <c r="I140" s="8">
        <f>IFERROR(D140/F140,0)</f>
        <v/>
      </c>
      <c r="J140" s="9">
        <f>IFERROR(E140/F140,0)</f>
        <v/>
      </c>
      <c r="K140" s="9">
        <f>IFERROR((B140-AVERAGE($B$5:$B$204))/STDEV($B$5:$B$204),0)</f>
        <v/>
      </c>
      <c r="L140" s="9">
        <f>IFERROR((C140-AVERAGE($C$5:$C$204))/STDEV($C$5:$C$204),0)</f>
        <v/>
      </c>
      <c r="M140" s="9">
        <f>IFERROR((D140-AVERAGE($D$5:$D$204))/STDEV($D$5:$D$204),0)</f>
        <v/>
      </c>
      <c r="N140" s="9">
        <f>IFERROR((E140-AVERAGE($E$5:$E$204))/STDEV($E$5:$E$204),0)</f>
        <v/>
      </c>
      <c r="O140" s="9">
        <f>IFERROR((F140-AVERAGE($F$5:$F$204))/STDEV($F$5:$F$204),0)</f>
        <v/>
      </c>
      <c r="P140" s="6">
        <f>IF(OR(B140&lt;QUARTILE($B$5:$B$204,1)-1.5*(QUARTILE($B$5:$B$204,3)-QUARTILE($B$5:$B$204,1)),B140&gt;QUARTILE($B$5:$B$204,3)+1.5*(QUARTILE($B$5:$B$204,3)-QUARTILE($B$5:$B$204,1))),"Review","Within range")</f>
        <v/>
      </c>
      <c r="Q140" s="6">
        <f>IF(OR(C140&lt;QUARTILE($C$5:$C$204,1)-1.5*(QUARTILE($C$5:$C$204,3)-QUARTILE($C$5:$C$204,1)),C140&gt;QUARTILE($C$5:$C$204,3)+1.5*(QUARTILE($C$5:$C$204,3)-QUARTILE($C$5:$C$204,1))),"Review","Within range")</f>
        <v/>
      </c>
      <c r="R140" s="6">
        <f>IF(OR(D140&lt;QUARTILE($D$5:$D$204,1)-1.5*(QUARTILE($D$5:$D$204,3)-QUARTILE($D$5:$D$204,1)),D140&gt;QUARTILE($D$5:$D$204,3)+1.5*(QUARTILE($D$5:$D$204,3)-QUARTILE($D$5:$D$204,1))),"Review","Within range")</f>
        <v/>
      </c>
      <c r="S140" s="6">
        <f>IF(OR(E140&lt;QUARTILE($E$5:$E$204,1)-1.5*(QUARTILE($E$5:$E$204,3)-QUARTILE($E$5:$E$204,1)),E140&gt;QUARTILE($E$5:$E$204,3)+1.5*(QUARTILE($E$5:$E$204,3)-QUARTILE($E$5:$E$204,1))),"Review","Within range")</f>
        <v/>
      </c>
      <c r="T140" s="6">
        <f>IF(COUNTBLANK(A140:E140)&gt;0,"Missing value",IF(COUNTIF(B140:E140,"&lt;0")&gt;0,"Negative value",IF(COUNTIF($A$5:$A$204,A140)&gt;1,"Duplicate market ID",IF(OR(P140="Review",Q140="Review",R140="Review",S140="Review"),"Review outlier","OK"))))</f>
        <v/>
      </c>
    </row>
    <row r="141">
      <c r="A141" s="6">
        <f>Raw_Data!A141</f>
        <v/>
      </c>
      <c r="B141" s="7">
        <f>Raw_Data!B141</f>
        <v/>
      </c>
      <c r="C141" s="7">
        <f>Raw_Data!C141</f>
        <v/>
      </c>
      <c r="D141" s="7">
        <f>Raw_Data!D141</f>
        <v/>
      </c>
      <c r="E141" s="7">
        <f>Raw_Data!E141</f>
        <v/>
      </c>
      <c r="F141" s="7">
        <f>SUM(B141:D141)</f>
        <v/>
      </c>
      <c r="G141" s="8">
        <f>IFERROR(B141/F141,0)</f>
        <v/>
      </c>
      <c r="H141" s="8">
        <f>IFERROR(C141/F141,0)</f>
        <v/>
      </c>
      <c r="I141" s="8">
        <f>IFERROR(D141/F141,0)</f>
        <v/>
      </c>
      <c r="J141" s="9">
        <f>IFERROR(E141/F141,0)</f>
        <v/>
      </c>
      <c r="K141" s="9">
        <f>IFERROR((B141-AVERAGE($B$5:$B$204))/STDEV($B$5:$B$204),0)</f>
        <v/>
      </c>
      <c r="L141" s="9">
        <f>IFERROR((C141-AVERAGE($C$5:$C$204))/STDEV($C$5:$C$204),0)</f>
        <v/>
      </c>
      <c r="M141" s="9">
        <f>IFERROR((D141-AVERAGE($D$5:$D$204))/STDEV($D$5:$D$204),0)</f>
        <v/>
      </c>
      <c r="N141" s="9">
        <f>IFERROR((E141-AVERAGE($E$5:$E$204))/STDEV($E$5:$E$204),0)</f>
        <v/>
      </c>
      <c r="O141" s="9">
        <f>IFERROR((F141-AVERAGE($F$5:$F$204))/STDEV($F$5:$F$204),0)</f>
        <v/>
      </c>
      <c r="P141" s="6">
        <f>IF(OR(B141&lt;QUARTILE($B$5:$B$204,1)-1.5*(QUARTILE($B$5:$B$204,3)-QUARTILE($B$5:$B$204,1)),B141&gt;QUARTILE($B$5:$B$204,3)+1.5*(QUARTILE($B$5:$B$204,3)-QUARTILE($B$5:$B$204,1))),"Review","Within range")</f>
        <v/>
      </c>
      <c r="Q141" s="6">
        <f>IF(OR(C141&lt;QUARTILE($C$5:$C$204,1)-1.5*(QUARTILE($C$5:$C$204,3)-QUARTILE($C$5:$C$204,1)),C141&gt;QUARTILE($C$5:$C$204,3)+1.5*(QUARTILE($C$5:$C$204,3)-QUARTILE($C$5:$C$204,1))),"Review","Within range")</f>
        <v/>
      </c>
      <c r="R141" s="6">
        <f>IF(OR(D141&lt;QUARTILE($D$5:$D$204,1)-1.5*(QUARTILE($D$5:$D$204,3)-QUARTILE($D$5:$D$204,1)),D141&gt;QUARTILE($D$5:$D$204,3)+1.5*(QUARTILE($D$5:$D$204,3)-QUARTILE($D$5:$D$204,1))),"Review","Within range")</f>
        <v/>
      </c>
      <c r="S141" s="6">
        <f>IF(OR(E141&lt;QUARTILE($E$5:$E$204,1)-1.5*(QUARTILE($E$5:$E$204,3)-QUARTILE($E$5:$E$204,1)),E141&gt;QUARTILE($E$5:$E$204,3)+1.5*(QUARTILE($E$5:$E$204,3)-QUARTILE($E$5:$E$204,1))),"Review","Within range")</f>
        <v/>
      </c>
      <c r="T141" s="6">
        <f>IF(COUNTBLANK(A141:E141)&gt;0,"Missing value",IF(COUNTIF(B141:E141,"&lt;0")&gt;0,"Negative value",IF(COUNTIF($A$5:$A$204,A141)&gt;1,"Duplicate market ID",IF(OR(P141="Review",Q141="Review",R141="Review",S141="Review"),"Review outlier","OK"))))</f>
        <v/>
      </c>
    </row>
    <row r="142">
      <c r="A142" s="6">
        <f>Raw_Data!A142</f>
        <v/>
      </c>
      <c r="B142" s="7">
        <f>Raw_Data!B142</f>
        <v/>
      </c>
      <c r="C142" s="7">
        <f>Raw_Data!C142</f>
        <v/>
      </c>
      <c r="D142" s="7">
        <f>Raw_Data!D142</f>
        <v/>
      </c>
      <c r="E142" s="7">
        <f>Raw_Data!E142</f>
        <v/>
      </c>
      <c r="F142" s="7">
        <f>SUM(B142:D142)</f>
        <v/>
      </c>
      <c r="G142" s="8">
        <f>IFERROR(B142/F142,0)</f>
        <v/>
      </c>
      <c r="H142" s="8">
        <f>IFERROR(C142/F142,0)</f>
        <v/>
      </c>
      <c r="I142" s="8">
        <f>IFERROR(D142/F142,0)</f>
        <v/>
      </c>
      <c r="J142" s="9">
        <f>IFERROR(E142/F142,0)</f>
        <v/>
      </c>
      <c r="K142" s="9">
        <f>IFERROR((B142-AVERAGE($B$5:$B$204))/STDEV($B$5:$B$204),0)</f>
        <v/>
      </c>
      <c r="L142" s="9">
        <f>IFERROR((C142-AVERAGE($C$5:$C$204))/STDEV($C$5:$C$204),0)</f>
        <v/>
      </c>
      <c r="M142" s="9">
        <f>IFERROR((D142-AVERAGE($D$5:$D$204))/STDEV($D$5:$D$204),0)</f>
        <v/>
      </c>
      <c r="N142" s="9">
        <f>IFERROR((E142-AVERAGE($E$5:$E$204))/STDEV($E$5:$E$204),0)</f>
        <v/>
      </c>
      <c r="O142" s="9">
        <f>IFERROR((F142-AVERAGE($F$5:$F$204))/STDEV($F$5:$F$204),0)</f>
        <v/>
      </c>
      <c r="P142" s="6">
        <f>IF(OR(B142&lt;QUARTILE($B$5:$B$204,1)-1.5*(QUARTILE($B$5:$B$204,3)-QUARTILE($B$5:$B$204,1)),B142&gt;QUARTILE($B$5:$B$204,3)+1.5*(QUARTILE($B$5:$B$204,3)-QUARTILE($B$5:$B$204,1))),"Review","Within range")</f>
        <v/>
      </c>
      <c r="Q142" s="6">
        <f>IF(OR(C142&lt;QUARTILE($C$5:$C$204,1)-1.5*(QUARTILE($C$5:$C$204,3)-QUARTILE($C$5:$C$204,1)),C142&gt;QUARTILE($C$5:$C$204,3)+1.5*(QUARTILE($C$5:$C$204,3)-QUARTILE($C$5:$C$204,1))),"Review","Within range")</f>
        <v/>
      </c>
      <c r="R142" s="6">
        <f>IF(OR(D142&lt;QUARTILE($D$5:$D$204,1)-1.5*(QUARTILE($D$5:$D$204,3)-QUARTILE($D$5:$D$204,1)),D142&gt;QUARTILE($D$5:$D$204,3)+1.5*(QUARTILE($D$5:$D$204,3)-QUARTILE($D$5:$D$204,1))),"Review","Within range")</f>
        <v/>
      </c>
      <c r="S142" s="6">
        <f>IF(OR(E142&lt;QUARTILE($E$5:$E$204,1)-1.5*(QUARTILE($E$5:$E$204,3)-QUARTILE($E$5:$E$204,1)),E142&gt;QUARTILE($E$5:$E$204,3)+1.5*(QUARTILE($E$5:$E$204,3)-QUARTILE($E$5:$E$204,1))),"Review","Within range")</f>
        <v/>
      </c>
      <c r="T142" s="6">
        <f>IF(COUNTBLANK(A142:E142)&gt;0,"Missing value",IF(COUNTIF(B142:E142,"&lt;0")&gt;0,"Negative value",IF(COUNTIF($A$5:$A$204,A142)&gt;1,"Duplicate market ID",IF(OR(P142="Review",Q142="Review",R142="Review",S142="Review"),"Review outlier","OK"))))</f>
        <v/>
      </c>
    </row>
    <row r="143">
      <c r="A143" s="6">
        <f>Raw_Data!A143</f>
        <v/>
      </c>
      <c r="B143" s="7">
        <f>Raw_Data!B143</f>
        <v/>
      </c>
      <c r="C143" s="7">
        <f>Raw_Data!C143</f>
        <v/>
      </c>
      <c r="D143" s="7">
        <f>Raw_Data!D143</f>
        <v/>
      </c>
      <c r="E143" s="7">
        <f>Raw_Data!E143</f>
        <v/>
      </c>
      <c r="F143" s="7">
        <f>SUM(B143:D143)</f>
        <v/>
      </c>
      <c r="G143" s="8">
        <f>IFERROR(B143/F143,0)</f>
        <v/>
      </c>
      <c r="H143" s="8">
        <f>IFERROR(C143/F143,0)</f>
        <v/>
      </c>
      <c r="I143" s="8">
        <f>IFERROR(D143/F143,0)</f>
        <v/>
      </c>
      <c r="J143" s="9">
        <f>IFERROR(E143/F143,0)</f>
        <v/>
      </c>
      <c r="K143" s="9">
        <f>IFERROR((B143-AVERAGE($B$5:$B$204))/STDEV($B$5:$B$204),0)</f>
        <v/>
      </c>
      <c r="L143" s="9">
        <f>IFERROR((C143-AVERAGE($C$5:$C$204))/STDEV($C$5:$C$204),0)</f>
        <v/>
      </c>
      <c r="M143" s="9">
        <f>IFERROR((D143-AVERAGE($D$5:$D$204))/STDEV($D$5:$D$204),0)</f>
        <v/>
      </c>
      <c r="N143" s="9">
        <f>IFERROR((E143-AVERAGE($E$5:$E$204))/STDEV($E$5:$E$204),0)</f>
        <v/>
      </c>
      <c r="O143" s="9">
        <f>IFERROR((F143-AVERAGE($F$5:$F$204))/STDEV($F$5:$F$204),0)</f>
        <v/>
      </c>
      <c r="P143" s="6">
        <f>IF(OR(B143&lt;QUARTILE($B$5:$B$204,1)-1.5*(QUARTILE($B$5:$B$204,3)-QUARTILE($B$5:$B$204,1)),B143&gt;QUARTILE($B$5:$B$204,3)+1.5*(QUARTILE($B$5:$B$204,3)-QUARTILE($B$5:$B$204,1))),"Review","Within range")</f>
        <v/>
      </c>
      <c r="Q143" s="6">
        <f>IF(OR(C143&lt;QUARTILE($C$5:$C$204,1)-1.5*(QUARTILE($C$5:$C$204,3)-QUARTILE($C$5:$C$204,1)),C143&gt;QUARTILE($C$5:$C$204,3)+1.5*(QUARTILE($C$5:$C$204,3)-QUARTILE($C$5:$C$204,1))),"Review","Within range")</f>
        <v/>
      </c>
      <c r="R143" s="6">
        <f>IF(OR(D143&lt;QUARTILE($D$5:$D$204,1)-1.5*(QUARTILE($D$5:$D$204,3)-QUARTILE($D$5:$D$204,1)),D143&gt;QUARTILE($D$5:$D$204,3)+1.5*(QUARTILE($D$5:$D$204,3)-QUARTILE($D$5:$D$204,1))),"Review","Within range")</f>
        <v/>
      </c>
      <c r="S143" s="6">
        <f>IF(OR(E143&lt;QUARTILE($E$5:$E$204,1)-1.5*(QUARTILE($E$5:$E$204,3)-QUARTILE($E$5:$E$204,1)),E143&gt;QUARTILE($E$5:$E$204,3)+1.5*(QUARTILE($E$5:$E$204,3)-QUARTILE($E$5:$E$204,1))),"Review","Within range")</f>
        <v/>
      </c>
      <c r="T143" s="6">
        <f>IF(COUNTBLANK(A143:E143)&gt;0,"Missing value",IF(COUNTIF(B143:E143,"&lt;0")&gt;0,"Negative value",IF(COUNTIF($A$5:$A$204,A143)&gt;1,"Duplicate market ID",IF(OR(P143="Review",Q143="Review",R143="Review",S143="Review"),"Review outlier","OK"))))</f>
        <v/>
      </c>
    </row>
    <row r="144">
      <c r="A144" s="6">
        <f>Raw_Data!A144</f>
        <v/>
      </c>
      <c r="B144" s="7">
        <f>Raw_Data!B144</f>
        <v/>
      </c>
      <c r="C144" s="7">
        <f>Raw_Data!C144</f>
        <v/>
      </c>
      <c r="D144" s="7">
        <f>Raw_Data!D144</f>
        <v/>
      </c>
      <c r="E144" s="7">
        <f>Raw_Data!E144</f>
        <v/>
      </c>
      <c r="F144" s="7">
        <f>SUM(B144:D144)</f>
        <v/>
      </c>
      <c r="G144" s="8">
        <f>IFERROR(B144/F144,0)</f>
        <v/>
      </c>
      <c r="H144" s="8">
        <f>IFERROR(C144/F144,0)</f>
        <v/>
      </c>
      <c r="I144" s="8">
        <f>IFERROR(D144/F144,0)</f>
        <v/>
      </c>
      <c r="J144" s="9">
        <f>IFERROR(E144/F144,0)</f>
        <v/>
      </c>
      <c r="K144" s="9">
        <f>IFERROR((B144-AVERAGE($B$5:$B$204))/STDEV($B$5:$B$204),0)</f>
        <v/>
      </c>
      <c r="L144" s="9">
        <f>IFERROR((C144-AVERAGE($C$5:$C$204))/STDEV($C$5:$C$204),0)</f>
        <v/>
      </c>
      <c r="M144" s="9">
        <f>IFERROR((D144-AVERAGE($D$5:$D$204))/STDEV($D$5:$D$204),0)</f>
        <v/>
      </c>
      <c r="N144" s="9">
        <f>IFERROR((E144-AVERAGE($E$5:$E$204))/STDEV($E$5:$E$204),0)</f>
        <v/>
      </c>
      <c r="O144" s="9">
        <f>IFERROR((F144-AVERAGE($F$5:$F$204))/STDEV($F$5:$F$204),0)</f>
        <v/>
      </c>
      <c r="P144" s="6">
        <f>IF(OR(B144&lt;QUARTILE($B$5:$B$204,1)-1.5*(QUARTILE($B$5:$B$204,3)-QUARTILE($B$5:$B$204,1)),B144&gt;QUARTILE($B$5:$B$204,3)+1.5*(QUARTILE($B$5:$B$204,3)-QUARTILE($B$5:$B$204,1))),"Review","Within range")</f>
        <v/>
      </c>
      <c r="Q144" s="6">
        <f>IF(OR(C144&lt;QUARTILE($C$5:$C$204,1)-1.5*(QUARTILE($C$5:$C$204,3)-QUARTILE($C$5:$C$204,1)),C144&gt;QUARTILE($C$5:$C$204,3)+1.5*(QUARTILE($C$5:$C$204,3)-QUARTILE($C$5:$C$204,1))),"Review","Within range")</f>
        <v/>
      </c>
      <c r="R144" s="6">
        <f>IF(OR(D144&lt;QUARTILE($D$5:$D$204,1)-1.5*(QUARTILE($D$5:$D$204,3)-QUARTILE($D$5:$D$204,1)),D144&gt;QUARTILE($D$5:$D$204,3)+1.5*(QUARTILE($D$5:$D$204,3)-QUARTILE($D$5:$D$204,1))),"Review","Within range")</f>
        <v/>
      </c>
      <c r="S144" s="6">
        <f>IF(OR(E144&lt;QUARTILE($E$5:$E$204,1)-1.5*(QUARTILE($E$5:$E$204,3)-QUARTILE($E$5:$E$204,1)),E144&gt;QUARTILE($E$5:$E$204,3)+1.5*(QUARTILE($E$5:$E$204,3)-QUARTILE($E$5:$E$204,1))),"Review","Within range")</f>
        <v/>
      </c>
      <c r="T144" s="6">
        <f>IF(COUNTBLANK(A144:E144)&gt;0,"Missing value",IF(COUNTIF(B144:E144,"&lt;0")&gt;0,"Negative value",IF(COUNTIF($A$5:$A$204,A144)&gt;1,"Duplicate market ID",IF(OR(P144="Review",Q144="Review",R144="Review",S144="Review"),"Review outlier","OK"))))</f>
        <v/>
      </c>
    </row>
    <row r="145">
      <c r="A145" s="6">
        <f>Raw_Data!A145</f>
        <v/>
      </c>
      <c r="B145" s="7">
        <f>Raw_Data!B145</f>
        <v/>
      </c>
      <c r="C145" s="7">
        <f>Raw_Data!C145</f>
        <v/>
      </c>
      <c r="D145" s="7">
        <f>Raw_Data!D145</f>
        <v/>
      </c>
      <c r="E145" s="7">
        <f>Raw_Data!E145</f>
        <v/>
      </c>
      <c r="F145" s="7">
        <f>SUM(B145:D145)</f>
        <v/>
      </c>
      <c r="G145" s="8">
        <f>IFERROR(B145/F145,0)</f>
        <v/>
      </c>
      <c r="H145" s="8">
        <f>IFERROR(C145/F145,0)</f>
        <v/>
      </c>
      <c r="I145" s="8">
        <f>IFERROR(D145/F145,0)</f>
        <v/>
      </c>
      <c r="J145" s="9">
        <f>IFERROR(E145/F145,0)</f>
        <v/>
      </c>
      <c r="K145" s="9">
        <f>IFERROR((B145-AVERAGE($B$5:$B$204))/STDEV($B$5:$B$204),0)</f>
        <v/>
      </c>
      <c r="L145" s="9">
        <f>IFERROR((C145-AVERAGE($C$5:$C$204))/STDEV($C$5:$C$204),0)</f>
        <v/>
      </c>
      <c r="M145" s="9">
        <f>IFERROR((D145-AVERAGE($D$5:$D$204))/STDEV($D$5:$D$204),0)</f>
        <v/>
      </c>
      <c r="N145" s="9">
        <f>IFERROR((E145-AVERAGE($E$5:$E$204))/STDEV($E$5:$E$204),0)</f>
        <v/>
      </c>
      <c r="O145" s="9">
        <f>IFERROR((F145-AVERAGE($F$5:$F$204))/STDEV($F$5:$F$204),0)</f>
        <v/>
      </c>
      <c r="P145" s="6">
        <f>IF(OR(B145&lt;QUARTILE($B$5:$B$204,1)-1.5*(QUARTILE($B$5:$B$204,3)-QUARTILE($B$5:$B$204,1)),B145&gt;QUARTILE($B$5:$B$204,3)+1.5*(QUARTILE($B$5:$B$204,3)-QUARTILE($B$5:$B$204,1))),"Review","Within range")</f>
        <v/>
      </c>
      <c r="Q145" s="6">
        <f>IF(OR(C145&lt;QUARTILE($C$5:$C$204,1)-1.5*(QUARTILE($C$5:$C$204,3)-QUARTILE($C$5:$C$204,1)),C145&gt;QUARTILE($C$5:$C$204,3)+1.5*(QUARTILE($C$5:$C$204,3)-QUARTILE($C$5:$C$204,1))),"Review","Within range")</f>
        <v/>
      </c>
      <c r="R145" s="6">
        <f>IF(OR(D145&lt;QUARTILE($D$5:$D$204,1)-1.5*(QUARTILE($D$5:$D$204,3)-QUARTILE($D$5:$D$204,1)),D145&gt;QUARTILE($D$5:$D$204,3)+1.5*(QUARTILE($D$5:$D$204,3)-QUARTILE($D$5:$D$204,1))),"Review","Within range")</f>
        <v/>
      </c>
      <c r="S145" s="6">
        <f>IF(OR(E145&lt;QUARTILE($E$5:$E$204,1)-1.5*(QUARTILE($E$5:$E$204,3)-QUARTILE($E$5:$E$204,1)),E145&gt;QUARTILE($E$5:$E$204,3)+1.5*(QUARTILE($E$5:$E$204,3)-QUARTILE($E$5:$E$204,1))),"Review","Within range")</f>
        <v/>
      </c>
      <c r="T145" s="6">
        <f>IF(COUNTBLANK(A145:E145)&gt;0,"Missing value",IF(COUNTIF(B145:E145,"&lt;0")&gt;0,"Negative value",IF(COUNTIF($A$5:$A$204,A145)&gt;1,"Duplicate market ID",IF(OR(P145="Review",Q145="Review",R145="Review",S145="Review"),"Review outlier","OK"))))</f>
        <v/>
      </c>
    </row>
    <row r="146">
      <c r="A146" s="6">
        <f>Raw_Data!A146</f>
        <v/>
      </c>
      <c r="B146" s="7">
        <f>Raw_Data!B146</f>
        <v/>
      </c>
      <c r="C146" s="7">
        <f>Raw_Data!C146</f>
        <v/>
      </c>
      <c r="D146" s="7">
        <f>Raw_Data!D146</f>
        <v/>
      </c>
      <c r="E146" s="7">
        <f>Raw_Data!E146</f>
        <v/>
      </c>
      <c r="F146" s="7">
        <f>SUM(B146:D146)</f>
        <v/>
      </c>
      <c r="G146" s="8">
        <f>IFERROR(B146/F146,0)</f>
        <v/>
      </c>
      <c r="H146" s="8">
        <f>IFERROR(C146/F146,0)</f>
        <v/>
      </c>
      <c r="I146" s="8">
        <f>IFERROR(D146/F146,0)</f>
        <v/>
      </c>
      <c r="J146" s="9">
        <f>IFERROR(E146/F146,0)</f>
        <v/>
      </c>
      <c r="K146" s="9">
        <f>IFERROR((B146-AVERAGE($B$5:$B$204))/STDEV($B$5:$B$204),0)</f>
        <v/>
      </c>
      <c r="L146" s="9">
        <f>IFERROR((C146-AVERAGE($C$5:$C$204))/STDEV($C$5:$C$204),0)</f>
        <v/>
      </c>
      <c r="M146" s="9">
        <f>IFERROR((D146-AVERAGE($D$5:$D$204))/STDEV($D$5:$D$204),0)</f>
        <v/>
      </c>
      <c r="N146" s="9">
        <f>IFERROR((E146-AVERAGE($E$5:$E$204))/STDEV($E$5:$E$204),0)</f>
        <v/>
      </c>
      <c r="O146" s="9">
        <f>IFERROR((F146-AVERAGE($F$5:$F$204))/STDEV($F$5:$F$204),0)</f>
        <v/>
      </c>
      <c r="P146" s="6">
        <f>IF(OR(B146&lt;QUARTILE($B$5:$B$204,1)-1.5*(QUARTILE($B$5:$B$204,3)-QUARTILE($B$5:$B$204,1)),B146&gt;QUARTILE($B$5:$B$204,3)+1.5*(QUARTILE($B$5:$B$204,3)-QUARTILE($B$5:$B$204,1))),"Review","Within range")</f>
        <v/>
      </c>
      <c r="Q146" s="6">
        <f>IF(OR(C146&lt;QUARTILE($C$5:$C$204,1)-1.5*(QUARTILE($C$5:$C$204,3)-QUARTILE($C$5:$C$204,1)),C146&gt;QUARTILE($C$5:$C$204,3)+1.5*(QUARTILE($C$5:$C$204,3)-QUARTILE($C$5:$C$204,1))),"Review","Within range")</f>
        <v/>
      </c>
      <c r="R146" s="6">
        <f>IF(OR(D146&lt;QUARTILE($D$5:$D$204,1)-1.5*(QUARTILE($D$5:$D$204,3)-QUARTILE($D$5:$D$204,1)),D146&gt;QUARTILE($D$5:$D$204,3)+1.5*(QUARTILE($D$5:$D$204,3)-QUARTILE($D$5:$D$204,1))),"Review","Within range")</f>
        <v/>
      </c>
      <c r="S146" s="6">
        <f>IF(OR(E146&lt;QUARTILE($E$5:$E$204,1)-1.5*(QUARTILE($E$5:$E$204,3)-QUARTILE($E$5:$E$204,1)),E146&gt;QUARTILE($E$5:$E$204,3)+1.5*(QUARTILE($E$5:$E$204,3)-QUARTILE($E$5:$E$204,1))),"Review","Within range")</f>
        <v/>
      </c>
      <c r="T146" s="6">
        <f>IF(COUNTBLANK(A146:E146)&gt;0,"Missing value",IF(COUNTIF(B146:E146,"&lt;0")&gt;0,"Negative value",IF(COUNTIF($A$5:$A$204,A146)&gt;1,"Duplicate market ID",IF(OR(P146="Review",Q146="Review",R146="Review",S146="Review"),"Review outlier","OK"))))</f>
        <v/>
      </c>
    </row>
    <row r="147">
      <c r="A147" s="6">
        <f>Raw_Data!A147</f>
        <v/>
      </c>
      <c r="B147" s="7">
        <f>Raw_Data!B147</f>
        <v/>
      </c>
      <c r="C147" s="7">
        <f>Raw_Data!C147</f>
        <v/>
      </c>
      <c r="D147" s="7">
        <f>Raw_Data!D147</f>
        <v/>
      </c>
      <c r="E147" s="7">
        <f>Raw_Data!E147</f>
        <v/>
      </c>
      <c r="F147" s="7">
        <f>SUM(B147:D147)</f>
        <v/>
      </c>
      <c r="G147" s="8">
        <f>IFERROR(B147/F147,0)</f>
        <v/>
      </c>
      <c r="H147" s="8">
        <f>IFERROR(C147/F147,0)</f>
        <v/>
      </c>
      <c r="I147" s="8">
        <f>IFERROR(D147/F147,0)</f>
        <v/>
      </c>
      <c r="J147" s="9">
        <f>IFERROR(E147/F147,0)</f>
        <v/>
      </c>
      <c r="K147" s="9">
        <f>IFERROR((B147-AVERAGE($B$5:$B$204))/STDEV($B$5:$B$204),0)</f>
        <v/>
      </c>
      <c r="L147" s="9">
        <f>IFERROR((C147-AVERAGE($C$5:$C$204))/STDEV($C$5:$C$204),0)</f>
        <v/>
      </c>
      <c r="M147" s="9">
        <f>IFERROR((D147-AVERAGE($D$5:$D$204))/STDEV($D$5:$D$204),0)</f>
        <v/>
      </c>
      <c r="N147" s="9">
        <f>IFERROR((E147-AVERAGE($E$5:$E$204))/STDEV($E$5:$E$204),0)</f>
        <v/>
      </c>
      <c r="O147" s="9">
        <f>IFERROR((F147-AVERAGE($F$5:$F$204))/STDEV($F$5:$F$204),0)</f>
        <v/>
      </c>
      <c r="P147" s="6">
        <f>IF(OR(B147&lt;QUARTILE($B$5:$B$204,1)-1.5*(QUARTILE($B$5:$B$204,3)-QUARTILE($B$5:$B$204,1)),B147&gt;QUARTILE($B$5:$B$204,3)+1.5*(QUARTILE($B$5:$B$204,3)-QUARTILE($B$5:$B$204,1))),"Review","Within range")</f>
        <v/>
      </c>
      <c r="Q147" s="6">
        <f>IF(OR(C147&lt;QUARTILE($C$5:$C$204,1)-1.5*(QUARTILE($C$5:$C$204,3)-QUARTILE($C$5:$C$204,1)),C147&gt;QUARTILE($C$5:$C$204,3)+1.5*(QUARTILE($C$5:$C$204,3)-QUARTILE($C$5:$C$204,1))),"Review","Within range")</f>
        <v/>
      </c>
      <c r="R147" s="6">
        <f>IF(OR(D147&lt;QUARTILE($D$5:$D$204,1)-1.5*(QUARTILE($D$5:$D$204,3)-QUARTILE($D$5:$D$204,1)),D147&gt;QUARTILE($D$5:$D$204,3)+1.5*(QUARTILE($D$5:$D$204,3)-QUARTILE($D$5:$D$204,1))),"Review","Within range")</f>
        <v/>
      </c>
      <c r="S147" s="6">
        <f>IF(OR(E147&lt;QUARTILE($E$5:$E$204,1)-1.5*(QUARTILE($E$5:$E$204,3)-QUARTILE($E$5:$E$204,1)),E147&gt;QUARTILE($E$5:$E$204,3)+1.5*(QUARTILE($E$5:$E$204,3)-QUARTILE($E$5:$E$204,1))),"Review","Within range")</f>
        <v/>
      </c>
      <c r="T147" s="6">
        <f>IF(COUNTBLANK(A147:E147)&gt;0,"Missing value",IF(COUNTIF(B147:E147,"&lt;0")&gt;0,"Negative value",IF(COUNTIF($A$5:$A$204,A147)&gt;1,"Duplicate market ID",IF(OR(P147="Review",Q147="Review",R147="Review",S147="Review"),"Review outlier","OK"))))</f>
        <v/>
      </c>
    </row>
    <row r="148">
      <c r="A148" s="6">
        <f>Raw_Data!A148</f>
        <v/>
      </c>
      <c r="B148" s="7">
        <f>Raw_Data!B148</f>
        <v/>
      </c>
      <c r="C148" s="7">
        <f>Raw_Data!C148</f>
        <v/>
      </c>
      <c r="D148" s="7">
        <f>Raw_Data!D148</f>
        <v/>
      </c>
      <c r="E148" s="7">
        <f>Raw_Data!E148</f>
        <v/>
      </c>
      <c r="F148" s="7">
        <f>SUM(B148:D148)</f>
        <v/>
      </c>
      <c r="G148" s="8">
        <f>IFERROR(B148/F148,0)</f>
        <v/>
      </c>
      <c r="H148" s="8">
        <f>IFERROR(C148/F148,0)</f>
        <v/>
      </c>
      <c r="I148" s="8">
        <f>IFERROR(D148/F148,0)</f>
        <v/>
      </c>
      <c r="J148" s="9">
        <f>IFERROR(E148/F148,0)</f>
        <v/>
      </c>
      <c r="K148" s="9">
        <f>IFERROR((B148-AVERAGE($B$5:$B$204))/STDEV($B$5:$B$204),0)</f>
        <v/>
      </c>
      <c r="L148" s="9">
        <f>IFERROR((C148-AVERAGE($C$5:$C$204))/STDEV($C$5:$C$204),0)</f>
        <v/>
      </c>
      <c r="M148" s="9">
        <f>IFERROR((D148-AVERAGE($D$5:$D$204))/STDEV($D$5:$D$204),0)</f>
        <v/>
      </c>
      <c r="N148" s="9">
        <f>IFERROR((E148-AVERAGE($E$5:$E$204))/STDEV($E$5:$E$204),0)</f>
        <v/>
      </c>
      <c r="O148" s="9">
        <f>IFERROR((F148-AVERAGE($F$5:$F$204))/STDEV($F$5:$F$204),0)</f>
        <v/>
      </c>
      <c r="P148" s="6">
        <f>IF(OR(B148&lt;QUARTILE($B$5:$B$204,1)-1.5*(QUARTILE($B$5:$B$204,3)-QUARTILE($B$5:$B$204,1)),B148&gt;QUARTILE($B$5:$B$204,3)+1.5*(QUARTILE($B$5:$B$204,3)-QUARTILE($B$5:$B$204,1))),"Review","Within range")</f>
        <v/>
      </c>
      <c r="Q148" s="6">
        <f>IF(OR(C148&lt;QUARTILE($C$5:$C$204,1)-1.5*(QUARTILE($C$5:$C$204,3)-QUARTILE($C$5:$C$204,1)),C148&gt;QUARTILE($C$5:$C$204,3)+1.5*(QUARTILE($C$5:$C$204,3)-QUARTILE($C$5:$C$204,1))),"Review","Within range")</f>
        <v/>
      </c>
      <c r="R148" s="6">
        <f>IF(OR(D148&lt;QUARTILE($D$5:$D$204,1)-1.5*(QUARTILE($D$5:$D$204,3)-QUARTILE($D$5:$D$204,1)),D148&gt;QUARTILE($D$5:$D$204,3)+1.5*(QUARTILE($D$5:$D$204,3)-QUARTILE($D$5:$D$204,1))),"Review","Within range")</f>
        <v/>
      </c>
      <c r="S148" s="6">
        <f>IF(OR(E148&lt;QUARTILE($E$5:$E$204,1)-1.5*(QUARTILE($E$5:$E$204,3)-QUARTILE($E$5:$E$204,1)),E148&gt;QUARTILE($E$5:$E$204,3)+1.5*(QUARTILE($E$5:$E$204,3)-QUARTILE($E$5:$E$204,1))),"Review","Within range")</f>
        <v/>
      </c>
      <c r="T148" s="6">
        <f>IF(COUNTBLANK(A148:E148)&gt;0,"Missing value",IF(COUNTIF(B148:E148,"&lt;0")&gt;0,"Negative value",IF(COUNTIF($A$5:$A$204,A148)&gt;1,"Duplicate market ID",IF(OR(P148="Review",Q148="Review",R148="Review",S148="Review"),"Review outlier","OK"))))</f>
        <v/>
      </c>
    </row>
    <row r="149">
      <c r="A149" s="6">
        <f>Raw_Data!A149</f>
        <v/>
      </c>
      <c r="B149" s="7">
        <f>Raw_Data!B149</f>
        <v/>
      </c>
      <c r="C149" s="7">
        <f>Raw_Data!C149</f>
        <v/>
      </c>
      <c r="D149" s="7">
        <f>Raw_Data!D149</f>
        <v/>
      </c>
      <c r="E149" s="7">
        <f>Raw_Data!E149</f>
        <v/>
      </c>
      <c r="F149" s="7">
        <f>SUM(B149:D149)</f>
        <v/>
      </c>
      <c r="G149" s="8">
        <f>IFERROR(B149/F149,0)</f>
        <v/>
      </c>
      <c r="H149" s="8">
        <f>IFERROR(C149/F149,0)</f>
        <v/>
      </c>
      <c r="I149" s="8">
        <f>IFERROR(D149/F149,0)</f>
        <v/>
      </c>
      <c r="J149" s="9">
        <f>IFERROR(E149/F149,0)</f>
        <v/>
      </c>
      <c r="K149" s="9">
        <f>IFERROR((B149-AVERAGE($B$5:$B$204))/STDEV($B$5:$B$204),0)</f>
        <v/>
      </c>
      <c r="L149" s="9">
        <f>IFERROR((C149-AVERAGE($C$5:$C$204))/STDEV($C$5:$C$204),0)</f>
        <v/>
      </c>
      <c r="M149" s="9">
        <f>IFERROR((D149-AVERAGE($D$5:$D$204))/STDEV($D$5:$D$204),0)</f>
        <v/>
      </c>
      <c r="N149" s="9">
        <f>IFERROR((E149-AVERAGE($E$5:$E$204))/STDEV($E$5:$E$204),0)</f>
        <v/>
      </c>
      <c r="O149" s="9">
        <f>IFERROR((F149-AVERAGE($F$5:$F$204))/STDEV($F$5:$F$204),0)</f>
        <v/>
      </c>
      <c r="P149" s="6">
        <f>IF(OR(B149&lt;QUARTILE($B$5:$B$204,1)-1.5*(QUARTILE($B$5:$B$204,3)-QUARTILE($B$5:$B$204,1)),B149&gt;QUARTILE($B$5:$B$204,3)+1.5*(QUARTILE($B$5:$B$204,3)-QUARTILE($B$5:$B$204,1))),"Review","Within range")</f>
        <v/>
      </c>
      <c r="Q149" s="6">
        <f>IF(OR(C149&lt;QUARTILE($C$5:$C$204,1)-1.5*(QUARTILE($C$5:$C$204,3)-QUARTILE($C$5:$C$204,1)),C149&gt;QUARTILE($C$5:$C$204,3)+1.5*(QUARTILE($C$5:$C$204,3)-QUARTILE($C$5:$C$204,1))),"Review","Within range")</f>
        <v/>
      </c>
      <c r="R149" s="6">
        <f>IF(OR(D149&lt;QUARTILE($D$5:$D$204,1)-1.5*(QUARTILE($D$5:$D$204,3)-QUARTILE($D$5:$D$204,1)),D149&gt;QUARTILE($D$5:$D$204,3)+1.5*(QUARTILE($D$5:$D$204,3)-QUARTILE($D$5:$D$204,1))),"Review","Within range")</f>
        <v/>
      </c>
      <c r="S149" s="6">
        <f>IF(OR(E149&lt;QUARTILE($E$5:$E$204,1)-1.5*(QUARTILE($E$5:$E$204,3)-QUARTILE($E$5:$E$204,1)),E149&gt;QUARTILE($E$5:$E$204,3)+1.5*(QUARTILE($E$5:$E$204,3)-QUARTILE($E$5:$E$204,1))),"Review","Within range")</f>
        <v/>
      </c>
      <c r="T149" s="6">
        <f>IF(COUNTBLANK(A149:E149)&gt;0,"Missing value",IF(COUNTIF(B149:E149,"&lt;0")&gt;0,"Negative value",IF(COUNTIF($A$5:$A$204,A149)&gt;1,"Duplicate market ID",IF(OR(P149="Review",Q149="Review",R149="Review",S149="Review"),"Review outlier","OK"))))</f>
        <v/>
      </c>
    </row>
    <row r="150">
      <c r="A150" s="6">
        <f>Raw_Data!A150</f>
        <v/>
      </c>
      <c r="B150" s="7">
        <f>Raw_Data!B150</f>
        <v/>
      </c>
      <c r="C150" s="7">
        <f>Raw_Data!C150</f>
        <v/>
      </c>
      <c r="D150" s="7">
        <f>Raw_Data!D150</f>
        <v/>
      </c>
      <c r="E150" s="7">
        <f>Raw_Data!E150</f>
        <v/>
      </c>
      <c r="F150" s="7">
        <f>SUM(B150:D150)</f>
        <v/>
      </c>
      <c r="G150" s="8">
        <f>IFERROR(B150/F150,0)</f>
        <v/>
      </c>
      <c r="H150" s="8">
        <f>IFERROR(C150/F150,0)</f>
        <v/>
      </c>
      <c r="I150" s="8">
        <f>IFERROR(D150/F150,0)</f>
        <v/>
      </c>
      <c r="J150" s="9">
        <f>IFERROR(E150/F150,0)</f>
        <v/>
      </c>
      <c r="K150" s="9">
        <f>IFERROR((B150-AVERAGE($B$5:$B$204))/STDEV($B$5:$B$204),0)</f>
        <v/>
      </c>
      <c r="L150" s="9">
        <f>IFERROR((C150-AVERAGE($C$5:$C$204))/STDEV($C$5:$C$204),0)</f>
        <v/>
      </c>
      <c r="M150" s="9">
        <f>IFERROR((D150-AVERAGE($D$5:$D$204))/STDEV($D$5:$D$204),0)</f>
        <v/>
      </c>
      <c r="N150" s="9">
        <f>IFERROR((E150-AVERAGE($E$5:$E$204))/STDEV($E$5:$E$204),0)</f>
        <v/>
      </c>
      <c r="O150" s="9">
        <f>IFERROR((F150-AVERAGE($F$5:$F$204))/STDEV($F$5:$F$204),0)</f>
        <v/>
      </c>
      <c r="P150" s="6">
        <f>IF(OR(B150&lt;QUARTILE($B$5:$B$204,1)-1.5*(QUARTILE($B$5:$B$204,3)-QUARTILE($B$5:$B$204,1)),B150&gt;QUARTILE($B$5:$B$204,3)+1.5*(QUARTILE($B$5:$B$204,3)-QUARTILE($B$5:$B$204,1))),"Review","Within range")</f>
        <v/>
      </c>
      <c r="Q150" s="6">
        <f>IF(OR(C150&lt;QUARTILE($C$5:$C$204,1)-1.5*(QUARTILE($C$5:$C$204,3)-QUARTILE($C$5:$C$204,1)),C150&gt;QUARTILE($C$5:$C$204,3)+1.5*(QUARTILE($C$5:$C$204,3)-QUARTILE($C$5:$C$204,1))),"Review","Within range")</f>
        <v/>
      </c>
      <c r="R150" s="6">
        <f>IF(OR(D150&lt;QUARTILE($D$5:$D$204,1)-1.5*(QUARTILE($D$5:$D$204,3)-QUARTILE($D$5:$D$204,1)),D150&gt;QUARTILE($D$5:$D$204,3)+1.5*(QUARTILE($D$5:$D$204,3)-QUARTILE($D$5:$D$204,1))),"Review","Within range")</f>
        <v/>
      </c>
      <c r="S150" s="6">
        <f>IF(OR(E150&lt;QUARTILE($E$5:$E$204,1)-1.5*(QUARTILE($E$5:$E$204,3)-QUARTILE($E$5:$E$204,1)),E150&gt;QUARTILE($E$5:$E$204,3)+1.5*(QUARTILE($E$5:$E$204,3)-QUARTILE($E$5:$E$204,1))),"Review","Within range")</f>
        <v/>
      </c>
      <c r="T150" s="6">
        <f>IF(COUNTBLANK(A150:E150)&gt;0,"Missing value",IF(COUNTIF(B150:E150,"&lt;0")&gt;0,"Negative value",IF(COUNTIF($A$5:$A$204,A150)&gt;1,"Duplicate market ID",IF(OR(P150="Review",Q150="Review",R150="Review",S150="Review"),"Review outlier","OK"))))</f>
        <v/>
      </c>
    </row>
    <row r="151">
      <c r="A151" s="6">
        <f>Raw_Data!A151</f>
        <v/>
      </c>
      <c r="B151" s="7">
        <f>Raw_Data!B151</f>
        <v/>
      </c>
      <c r="C151" s="7">
        <f>Raw_Data!C151</f>
        <v/>
      </c>
      <c r="D151" s="7">
        <f>Raw_Data!D151</f>
        <v/>
      </c>
      <c r="E151" s="7">
        <f>Raw_Data!E151</f>
        <v/>
      </c>
      <c r="F151" s="7">
        <f>SUM(B151:D151)</f>
        <v/>
      </c>
      <c r="G151" s="8">
        <f>IFERROR(B151/F151,0)</f>
        <v/>
      </c>
      <c r="H151" s="8">
        <f>IFERROR(C151/F151,0)</f>
        <v/>
      </c>
      <c r="I151" s="8">
        <f>IFERROR(D151/F151,0)</f>
        <v/>
      </c>
      <c r="J151" s="9">
        <f>IFERROR(E151/F151,0)</f>
        <v/>
      </c>
      <c r="K151" s="9">
        <f>IFERROR((B151-AVERAGE($B$5:$B$204))/STDEV($B$5:$B$204),0)</f>
        <v/>
      </c>
      <c r="L151" s="9">
        <f>IFERROR((C151-AVERAGE($C$5:$C$204))/STDEV($C$5:$C$204),0)</f>
        <v/>
      </c>
      <c r="M151" s="9">
        <f>IFERROR((D151-AVERAGE($D$5:$D$204))/STDEV($D$5:$D$204),0)</f>
        <v/>
      </c>
      <c r="N151" s="9">
        <f>IFERROR((E151-AVERAGE($E$5:$E$204))/STDEV($E$5:$E$204),0)</f>
        <v/>
      </c>
      <c r="O151" s="9">
        <f>IFERROR((F151-AVERAGE($F$5:$F$204))/STDEV($F$5:$F$204),0)</f>
        <v/>
      </c>
      <c r="P151" s="6">
        <f>IF(OR(B151&lt;QUARTILE($B$5:$B$204,1)-1.5*(QUARTILE($B$5:$B$204,3)-QUARTILE($B$5:$B$204,1)),B151&gt;QUARTILE($B$5:$B$204,3)+1.5*(QUARTILE($B$5:$B$204,3)-QUARTILE($B$5:$B$204,1))),"Review","Within range")</f>
        <v/>
      </c>
      <c r="Q151" s="6">
        <f>IF(OR(C151&lt;QUARTILE($C$5:$C$204,1)-1.5*(QUARTILE($C$5:$C$204,3)-QUARTILE($C$5:$C$204,1)),C151&gt;QUARTILE($C$5:$C$204,3)+1.5*(QUARTILE($C$5:$C$204,3)-QUARTILE($C$5:$C$204,1))),"Review","Within range")</f>
        <v/>
      </c>
      <c r="R151" s="6">
        <f>IF(OR(D151&lt;QUARTILE($D$5:$D$204,1)-1.5*(QUARTILE($D$5:$D$204,3)-QUARTILE($D$5:$D$204,1)),D151&gt;QUARTILE($D$5:$D$204,3)+1.5*(QUARTILE($D$5:$D$204,3)-QUARTILE($D$5:$D$204,1))),"Review","Within range")</f>
        <v/>
      </c>
      <c r="S151" s="6">
        <f>IF(OR(E151&lt;QUARTILE($E$5:$E$204,1)-1.5*(QUARTILE($E$5:$E$204,3)-QUARTILE($E$5:$E$204,1)),E151&gt;QUARTILE($E$5:$E$204,3)+1.5*(QUARTILE($E$5:$E$204,3)-QUARTILE($E$5:$E$204,1))),"Review","Within range")</f>
        <v/>
      </c>
      <c r="T151" s="6">
        <f>IF(COUNTBLANK(A151:E151)&gt;0,"Missing value",IF(COUNTIF(B151:E151,"&lt;0")&gt;0,"Negative value",IF(COUNTIF($A$5:$A$204,A151)&gt;1,"Duplicate market ID",IF(OR(P151="Review",Q151="Review",R151="Review",S151="Review"),"Review outlier","OK"))))</f>
        <v/>
      </c>
    </row>
    <row r="152">
      <c r="A152" s="6">
        <f>Raw_Data!A152</f>
        <v/>
      </c>
      <c r="B152" s="7">
        <f>Raw_Data!B152</f>
        <v/>
      </c>
      <c r="C152" s="7">
        <f>Raw_Data!C152</f>
        <v/>
      </c>
      <c r="D152" s="7">
        <f>Raw_Data!D152</f>
        <v/>
      </c>
      <c r="E152" s="7">
        <f>Raw_Data!E152</f>
        <v/>
      </c>
      <c r="F152" s="7">
        <f>SUM(B152:D152)</f>
        <v/>
      </c>
      <c r="G152" s="8">
        <f>IFERROR(B152/F152,0)</f>
        <v/>
      </c>
      <c r="H152" s="8">
        <f>IFERROR(C152/F152,0)</f>
        <v/>
      </c>
      <c r="I152" s="8">
        <f>IFERROR(D152/F152,0)</f>
        <v/>
      </c>
      <c r="J152" s="9">
        <f>IFERROR(E152/F152,0)</f>
        <v/>
      </c>
      <c r="K152" s="9">
        <f>IFERROR((B152-AVERAGE($B$5:$B$204))/STDEV($B$5:$B$204),0)</f>
        <v/>
      </c>
      <c r="L152" s="9">
        <f>IFERROR((C152-AVERAGE($C$5:$C$204))/STDEV($C$5:$C$204),0)</f>
        <v/>
      </c>
      <c r="M152" s="9">
        <f>IFERROR((D152-AVERAGE($D$5:$D$204))/STDEV($D$5:$D$204),0)</f>
        <v/>
      </c>
      <c r="N152" s="9">
        <f>IFERROR((E152-AVERAGE($E$5:$E$204))/STDEV($E$5:$E$204),0)</f>
        <v/>
      </c>
      <c r="O152" s="9">
        <f>IFERROR((F152-AVERAGE($F$5:$F$204))/STDEV($F$5:$F$204),0)</f>
        <v/>
      </c>
      <c r="P152" s="6">
        <f>IF(OR(B152&lt;QUARTILE($B$5:$B$204,1)-1.5*(QUARTILE($B$5:$B$204,3)-QUARTILE($B$5:$B$204,1)),B152&gt;QUARTILE($B$5:$B$204,3)+1.5*(QUARTILE($B$5:$B$204,3)-QUARTILE($B$5:$B$204,1))),"Review","Within range")</f>
        <v/>
      </c>
      <c r="Q152" s="6">
        <f>IF(OR(C152&lt;QUARTILE($C$5:$C$204,1)-1.5*(QUARTILE($C$5:$C$204,3)-QUARTILE($C$5:$C$204,1)),C152&gt;QUARTILE($C$5:$C$204,3)+1.5*(QUARTILE($C$5:$C$204,3)-QUARTILE($C$5:$C$204,1))),"Review","Within range")</f>
        <v/>
      </c>
      <c r="R152" s="6">
        <f>IF(OR(D152&lt;QUARTILE($D$5:$D$204,1)-1.5*(QUARTILE($D$5:$D$204,3)-QUARTILE($D$5:$D$204,1)),D152&gt;QUARTILE($D$5:$D$204,3)+1.5*(QUARTILE($D$5:$D$204,3)-QUARTILE($D$5:$D$204,1))),"Review","Within range")</f>
        <v/>
      </c>
      <c r="S152" s="6">
        <f>IF(OR(E152&lt;QUARTILE($E$5:$E$204,1)-1.5*(QUARTILE($E$5:$E$204,3)-QUARTILE($E$5:$E$204,1)),E152&gt;QUARTILE($E$5:$E$204,3)+1.5*(QUARTILE($E$5:$E$204,3)-QUARTILE($E$5:$E$204,1))),"Review","Within range")</f>
        <v/>
      </c>
      <c r="T152" s="6">
        <f>IF(COUNTBLANK(A152:E152)&gt;0,"Missing value",IF(COUNTIF(B152:E152,"&lt;0")&gt;0,"Negative value",IF(COUNTIF($A$5:$A$204,A152)&gt;1,"Duplicate market ID",IF(OR(P152="Review",Q152="Review",R152="Review",S152="Review"),"Review outlier","OK"))))</f>
        <v/>
      </c>
    </row>
    <row r="153">
      <c r="A153" s="6">
        <f>Raw_Data!A153</f>
        <v/>
      </c>
      <c r="B153" s="7">
        <f>Raw_Data!B153</f>
        <v/>
      </c>
      <c r="C153" s="7">
        <f>Raw_Data!C153</f>
        <v/>
      </c>
      <c r="D153" s="7">
        <f>Raw_Data!D153</f>
        <v/>
      </c>
      <c r="E153" s="7">
        <f>Raw_Data!E153</f>
        <v/>
      </c>
      <c r="F153" s="7">
        <f>SUM(B153:D153)</f>
        <v/>
      </c>
      <c r="G153" s="8">
        <f>IFERROR(B153/F153,0)</f>
        <v/>
      </c>
      <c r="H153" s="8">
        <f>IFERROR(C153/F153,0)</f>
        <v/>
      </c>
      <c r="I153" s="8">
        <f>IFERROR(D153/F153,0)</f>
        <v/>
      </c>
      <c r="J153" s="9">
        <f>IFERROR(E153/F153,0)</f>
        <v/>
      </c>
      <c r="K153" s="9">
        <f>IFERROR((B153-AVERAGE($B$5:$B$204))/STDEV($B$5:$B$204),0)</f>
        <v/>
      </c>
      <c r="L153" s="9">
        <f>IFERROR((C153-AVERAGE($C$5:$C$204))/STDEV($C$5:$C$204),0)</f>
        <v/>
      </c>
      <c r="M153" s="9">
        <f>IFERROR((D153-AVERAGE($D$5:$D$204))/STDEV($D$5:$D$204),0)</f>
        <v/>
      </c>
      <c r="N153" s="9">
        <f>IFERROR((E153-AVERAGE($E$5:$E$204))/STDEV($E$5:$E$204),0)</f>
        <v/>
      </c>
      <c r="O153" s="9">
        <f>IFERROR((F153-AVERAGE($F$5:$F$204))/STDEV($F$5:$F$204),0)</f>
        <v/>
      </c>
      <c r="P153" s="6">
        <f>IF(OR(B153&lt;QUARTILE($B$5:$B$204,1)-1.5*(QUARTILE($B$5:$B$204,3)-QUARTILE($B$5:$B$204,1)),B153&gt;QUARTILE($B$5:$B$204,3)+1.5*(QUARTILE($B$5:$B$204,3)-QUARTILE($B$5:$B$204,1))),"Review","Within range")</f>
        <v/>
      </c>
      <c r="Q153" s="6">
        <f>IF(OR(C153&lt;QUARTILE($C$5:$C$204,1)-1.5*(QUARTILE($C$5:$C$204,3)-QUARTILE($C$5:$C$204,1)),C153&gt;QUARTILE($C$5:$C$204,3)+1.5*(QUARTILE($C$5:$C$204,3)-QUARTILE($C$5:$C$204,1))),"Review","Within range")</f>
        <v/>
      </c>
      <c r="R153" s="6">
        <f>IF(OR(D153&lt;QUARTILE($D$5:$D$204,1)-1.5*(QUARTILE($D$5:$D$204,3)-QUARTILE($D$5:$D$204,1)),D153&gt;QUARTILE($D$5:$D$204,3)+1.5*(QUARTILE($D$5:$D$204,3)-QUARTILE($D$5:$D$204,1))),"Review","Within range")</f>
        <v/>
      </c>
      <c r="S153" s="6">
        <f>IF(OR(E153&lt;QUARTILE($E$5:$E$204,1)-1.5*(QUARTILE($E$5:$E$204,3)-QUARTILE($E$5:$E$204,1)),E153&gt;QUARTILE($E$5:$E$204,3)+1.5*(QUARTILE($E$5:$E$204,3)-QUARTILE($E$5:$E$204,1))),"Review","Within range")</f>
        <v/>
      </c>
      <c r="T153" s="6">
        <f>IF(COUNTBLANK(A153:E153)&gt;0,"Missing value",IF(COUNTIF(B153:E153,"&lt;0")&gt;0,"Negative value",IF(COUNTIF($A$5:$A$204,A153)&gt;1,"Duplicate market ID",IF(OR(P153="Review",Q153="Review",R153="Review",S153="Review"),"Review outlier","OK"))))</f>
        <v/>
      </c>
    </row>
    <row r="154">
      <c r="A154" s="6">
        <f>Raw_Data!A154</f>
        <v/>
      </c>
      <c r="B154" s="7">
        <f>Raw_Data!B154</f>
        <v/>
      </c>
      <c r="C154" s="7">
        <f>Raw_Data!C154</f>
        <v/>
      </c>
      <c r="D154" s="7">
        <f>Raw_Data!D154</f>
        <v/>
      </c>
      <c r="E154" s="7">
        <f>Raw_Data!E154</f>
        <v/>
      </c>
      <c r="F154" s="7">
        <f>SUM(B154:D154)</f>
        <v/>
      </c>
      <c r="G154" s="8">
        <f>IFERROR(B154/F154,0)</f>
        <v/>
      </c>
      <c r="H154" s="8">
        <f>IFERROR(C154/F154,0)</f>
        <v/>
      </c>
      <c r="I154" s="8">
        <f>IFERROR(D154/F154,0)</f>
        <v/>
      </c>
      <c r="J154" s="9">
        <f>IFERROR(E154/F154,0)</f>
        <v/>
      </c>
      <c r="K154" s="9">
        <f>IFERROR((B154-AVERAGE($B$5:$B$204))/STDEV($B$5:$B$204),0)</f>
        <v/>
      </c>
      <c r="L154" s="9">
        <f>IFERROR((C154-AVERAGE($C$5:$C$204))/STDEV($C$5:$C$204),0)</f>
        <v/>
      </c>
      <c r="M154" s="9">
        <f>IFERROR((D154-AVERAGE($D$5:$D$204))/STDEV($D$5:$D$204),0)</f>
        <v/>
      </c>
      <c r="N154" s="9">
        <f>IFERROR((E154-AVERAGE($E$5:$E$204))/STDEV($E$5:$E$204),0)</f>
        <v/>
      </c>
      <c r="O154" s="9">
        <f>IFERROR((F154-AVERAGE($F$5:$F$204))/STDEV($F$5:$F$204),0)</f>
        <v/>
      </c>
      <c r="P154" s="6">
        <f>IF(OR(B154&lt;QUARTILE($B$5:$B$204,1)-1.5*(QUARTILE($B$5:$B$204,3)-QUARTILE($B$5:$B$204,1)),B154&gt;QUARTILE($B$5:$B$204,3)+1.5*(QUARTILE($B$5:$B$204,3)-QUARTILE($B$5:$B$204,1))),"Review","Within range")</f>
        <v/>
      </c>
      <c r="Q154" s="6">
        <f>IF(OR(C154&lt;QUARTILE($C$5:$C$204,1)-1.5*(QUARTILE($C$5:$C$204,3)-QUARTILE($C$5:$C$204,1)),C154&gt;QUARTILE($C$5:$C$204,3)+1.5*(QUARTILE($C$5:$C$204,3)-QUARTILE($C$5:$C$204,1))),"Review","Within range")</f>
        <v/>
      </c>
      <c r="R154" s="6">
        <f>IF(OR(D154&lt;QUARTILE($D$5:$D$204,1)-1.5*(QUARTILE($D$5:$D$204,3)-QUARTILE($D$5:$D$204,1)),D154&gt;QUARTILE($D$5:$D$204,3)+1.5*(QUARTILE($D$5:$D$204,3)-QUARTILE($D$5:$D$204,1))),"Review","Within range")</f>
        <v/>
      </c>
      <c r="S154" s="6">
        <f>IF(OR(E154&lt;QUARTILE($E$5:$E$204,1)-1.5*(QUARTILE($E$5:$E$204,3)-QUARTILE($E$5:$E$204,1)),E154&gt;QUARTILE($E$5:$E$204,3)+1.5*(QUARTILE($E$5:$E$204,3)-QUARTILE($E$5:$E$204,1))),"Review","Within range")</f>
        <v/>
      </c>
      <c r="T154" s="6">
        <f>IF(COUNTBLANK(A154:E154)&gt;0,"Missing value",IF(COUNTIF(B154:E154,"&lt;0")&gt;0,"Negative value",IF(COUNTIF($A$5:$A$204,A154)&gt;1,"Duplicate market ID",IF(OR(P154="Review",Q154="Review",R154="Review",S154="Review"),"Review outlier","OK"))))</f>
        <v/>
      </c>
    </row>
    <row r="155">
      <c r="A155" s="6">
        <f>Raw_Data!A155</f>
        <v/>
      </c>
      <c r="B155" s="7">
        <f>Raw_Data!B155</f>
        <v/>
      </c>
      <c r="C155" s="7">
        <f>Raw_Data!C155</f>
        <v/>
      </c>
      <c r="D155" s="7">
        <f>Raw_Data!D155</f>
        <v/>
      </c>
      <c r="E155" s="7">
        <f>Raw_Data!E155</f>
        <v/>
      </c>
      <c r="F155" s="7">
        <f>SUM(B155:D155)</f>
        <v/>
      </c>
      <c r="G155" s="8">
        <f>IFERROR(B155/F155,0)</f>
        <v/>
      </c>
      <c r="H155" s="8">
        <f>IFERROR(C155/F155,0)</f>
        <v/>
      </c>
      <c r="I155" s="8">
        <f>IFERROR(D155/F155,0)</f>
        <v/>
      </c>
      <c r="J155" s="9">
        <f>IFERROR(E155/F155,0)</f>
        <v/>
      </c>
      <c r="K155" s="9">
        <f>IFERROR((B155-AVERAGE($B$5:$B$204))/STDEV($B$5:$B$204),0)</f>
        <v/>
      </c>
      <c r="L155" s="9">
        <f>IFERROR((C155-AVERAGE($C$5:$C$204))/STDEV($C$5:$C$204),0)</f>
        <v/>
      </c>
      <c r="M155" s="9">
        <f>IFERROR((D155-AVERAGE($D$5:$D$204))/STDEV($D$5:$D$204),0)</f>
        <v/>
      </c>
      <c r="N155" s="9">
        <f>IFERROR((E155-AVERAGE($E$5:$E$204))/STDEV($E$5:$E$204),0)</f>
        <v/>
      </c>
      <c r="O155" s="9">
        <f>IFERROR((F155-AVERAGE($F$5:$F$204))/STDEV($F$5:$F$204),0)</f>
        <v/>
      </c>
      <c r="P155" s="6">
        <f>IF(OR(B155&lt;QUARTILE($B$5:$B$204,1)-1.5*(QUARTILE($B$5:$B$204,3)-QUARTILE($B$5:$B$204,1)),B155&gt;QUARTILE($B$5:$B$204,3)+1.5*(QUARTILE($B$5:$B$204,3)-QUARTILE($B$5:$B$204,1))),"Review","Within range")</f>
        <v/>
      </c>
      <c r="Q155" s="6">
        <f>IF(OR(C155&lt;QUARTILE($C$5:$C$204,1)-1.5*(QUARTILE($C$5:$C$204,3)-QUARTILE($C$5:$C$204,1)),C155&gt;QUARTILE($C$5:$C$204,3)+1.5*(QUARTILE($C$5:$C$204,3)-QUARTILE($C$5:$C$204,1))),"Review","Within range")</f>
        <v/>
      </c>
      <c r="R155" s="6">
        <f>IF(OR(D155&lt;QUARTILE($D$5:$D$204,1)-1.5*(QUARTILE($D$5:$D$204,3)-QUARTILE($D$5:$D$204,1)),D155&gt;QUARTILE($D$5:$D$204,3)+1.5*(QUARTILE($D$5:$D$204,3)-QUARTILE($D$5:$D$204,1))),"Review","Within range")</f>
        <v/>
      </c>
      <c r="S155" s="6">
        <f>IF(OR(E155&lt;QUARTILE($E$5:$E$204,1)-1.5*(QUARTILE($E$5:$E$204,3)-QUARTILE($E$5:$E$204,1)),E155&gt;QUARTILE($E$5:$E$204,3)+1.5*(QUARTILE($E$5:$E$204,3)-QUARTILE($E$5:$E$204,1))),"Review","Within range")</f>
        <v/>
      </c>
      <c r="T155" s="6">
        <f>IF(COUNTBLANK(A155:E155)&gt;0,"Missing value",IF(COUNTIF(B155:E155,"&lt;0")&gt;0,"Negative value",IF(COUNTIF($A$5:$A$204,A155)&gt;1,"Duplicate market ID",IF(OR(P155="Review",Q155="Review",R155="Review",S155="Review"),"Review outlier","OK"))))</f>
        <v/>
      </c>
    </row>
    <row r="156">
      <c r="A156" s="6">
        <f>Raw_Data!A156</f>
        <v/>
      </c>
      <c r="B156" s="7">
        <f>Raw_Data!B156</f>
        <v/>
      </c>
      <c r="C156" s="7">
        <f>Raw_Data!C156</f>
        <v/>
      </c>
      <c r="D156" s="7">
        <f>Raw_Data!D156</f>
        <v/>
      </c>
      <c r="E156" s="7">
        <f>Raw_Data!E156</f>
        <v/>
      </c>
      <c r="F156" s="7">
        <f>SUM(B156:D156)</f>
        <v/>
      </c>
      <c r="G156" s="8">
        <f>IFERROR(B156/F156,0)</f>
        <v/>
      </c>
      <c r="H156" s="8">
        <f>IFERROR(C156/F156,0)</f>
        <v/>
      </c>
      <c r="I156" s="8">
        <f>IFERROR(D156/F156,0)</f>
        <v/>
      </c>
      <c r="J156" s="9">
        <f>IFERROR(E156/F156,0)</f>
        <v/>
      </c>
      <c r="K156" s="9">
        <f>IFERROR((B156-AVERAGE($B$5:$B$204))/STDEV($B$5:$B$204),0)</f>
        <v/>
      </c>
      <c r="L156" s="9">
        <f>IFERROR((C156-AVERAGE($C$5:$C$204))/STDEV($C$5:$C$204),0)</f>
        <v/>
      </c>
      <c r="M156" s="9">
        <f>IFERROR((D156-AVERAGE($D$5:$D$204))/STDEV($D$5:$D$204),0)</f>
        <v/>
      </c>
      <c r="N156" s="9">
        <f>IFERROR((E156-AVERAGE($E$5:$E$204))/STDEV($E$5:$E$204),0)</f>
        <v/>
      </c>
      <c r="O156" s="9">
        <f>IFERROR((F156-AVERAGE($F$5:$F$204))/STDEV($F$5:$F$204),0)</f>
        <v/>
      </c>
      <c r="P156" s="6">
        <f>IF(OR(B156&lt;QUARTILE($B$5:$B$204,1)-1.5*(QUARTILE($B$5:$B$204,3)-QUARTILE($B$5:$B$204,1)),B156&gt;QUARTILE($B$5:$B$204,3)+1.5*(QUARTILE($B$5:$B$204,3)-QUARTILE($B$5:$B$204,1))),"Review","Within range")</f>
        <v/>
      </c>
      <c r="Q156" s="6">
        <f>IF(OR(C156&lt;QUARTILE($C$5:$C$204,1)-1.5*(QUARTILE($C$5:$C$204,3)-QUARTILE($C$5:$C$204,1)),C156&gt;QUARTILE($C$5:$C$204,3)+1.5*(QUARTILE($C$5:$C$204,3)-QUARTILE($C$5:$C$204,1))),"Review","Within range")</f>
        <v/>
      </c>
      <c r="R156" s="6">
        <f>IF(OR(D156&lt;QUARTILE($D$5:$D$204,1)-1.5*(QUARTILE($D$5:$D$204,3)-QUARTILE($D$5:$D$204,1)),D156&gt;QUARTILE($D$5:$D$204,3)+1.5*(QUARTILE($D$5:$D$204,3)-QUARTILE($D$5:$D$204,1))),"Review","Within range")</f>
        <v/>
      </c>
      <c r="S156" s="6">
        <f>IF(OR(E156&lt;QUARTILE($E$5:$E$204,1)-1.5*(QUARTILE($E$5:$E$204,3)-QUARTILE($E$5:$E$204,1)),E156&gt;QUARTILE($E$5:$E$204,3)+1.5*(QUARTILE($E$5:$E$204,3)-QUARTILE($E$5:$E$204,1))),"Review","Within range")</f>
        <v/>
      </c>
      <c r="T156" s="6">
        <f>IF(COUNTBLANK(A156:E156)&gt;0,"Missing value",IF(COUNTIF(B156:E156,"&lt;0")&gt;0,"Negative value",IF(COUNTIF($A$5:$A$204,A156)&gt;1,"Duplicate market ID",IF(OR(P156="Review",Q156="Review",R156="Review",S156="Review"),"Review outlier","OK"))))</f>
        <v/>
      </c>
    </row>
    <row r="157">
      <c r="A157" s="6">
        <f>Raw_Data!A157</f>
        <v/>
      </c>
      <c r="B157" s="7">
        <f>Raw_Data!B157</f>
        <v/>
      </c>
      <c r="C157" s="7">
        <f>Raw_Data!C157</f>
        <v/>
      </c>
      <c r="D157" s="7">
        <f>Raw_Data!D157</f>
        <v/>
      </c>
      <c r="E157" s="7">
        <f>Raw_Data!E157</f>
        <v/>
      </c>
      <c r="F157" s="7">
        <f>SUM(B157:D157)</f>
        <v/>
      </c>
      <c r="G157" s="8">
        <f>IFERROR(B157/F157,0)</f>
        <v/>
      </c>
      <c r="H157" s="8">
        <f>IFERROR(C157/F157,0)</f>
        <v/>
      </c>
      <c r="I157" s="8">
        <f>IFERROR(D157/F157,0)</f>
        <v/>
      </c>
      <c r="J157" s="9">
        <f>IFERROR(E157/F157,0)</f>
        <v/>
      </c>
      <c r="K157" s="9">
        <f>IFERROR((B157-AVERAGE($B$5:$B$204))/STDEV($B$5:$B$204),0)</f>
        <v/>
      </c>
      <c r="L157" s="9">
        <f>IFERROR((C157-AVERAGE($C$5:$C$204))/STDEV($C$5:$C$204),0)</f>
        <v/>
      </c>
      <c r="M157" s="9">
        <f>IFERROR((D157-AVERAGE($D$5:$D$204))/STDEV($D$5:$D$204),0)</f>
        <v/>
      </c>
      <c r="N157" s="9">
        <f>IFERROR((E157-AVERAGE($E$5:$E$204))/STDEV($E$5:$E$204),0)</f>
        <v/>
      </c>
      <c r="O157" s="9">
        <f>IFERROR((F157-AVERAGE($F$5:$F$204))/STDEV($F$5:$F$204),0)</f>
        <v/>
      </c>
      <c r="P157" s="6">
        <f>IF(OR(B157&lt;QUARTILE($B$5:$B$204,1)-1.5*(QUARTILE($B$5:$B$204,3)-QUARTILE($B$5:$B$204,1)),B157&gt;QUARTILE($B$5:$B$204,3)+1.5*(QUARTILE($B$5:$B$204,3)-QUARTILE($B$5:$B$204,1))),"Review","Within range")</f>
        <v/>
      </c>
      <c r="Q157" s="6">
        <f>IF(OR(C157&lt;QUARTILE($C$5:$C$204,1)-1.5*(QUARTILE($C$5:$C$204,3)-QUARTILE($C$5:$C$204,1)),C157&gt;QUARTILE($C$5:$C$204,3)+1.5*(QUARTILE($C$5:$C$204,3)-QUARTILE($C$5:$C$204,1))),"Review","Within range")</f>
        <v/>
      </c>
      <c r="R157" s="6">
        <f>IF(OR(D157&lt;QUARTILE($D$5:$D$204,1)-1.5*(QUARTILE($D$5:$D$204,3)-QUARTILE($D$5:$D$204,1)),D157&gt;QUARTILE($D$5:$D$204,3)+1.5*(QUARTILE($D$5:$D$204,3)-QUARTILE($D$5:$D$204,1))),"Review","Within range")</f>
        <v/>
      </c>
      <c r="S157" s="6">
        <f>IF(OR(E157&lt;QUARTILE($E$5:$E$204,1)-1.5*(QUARTILE($E$5:$E$204,3)-QUARTILE($E$5:$E$204,1)),E157&gt;QUARTILE($E$5:$E$204,3)+1.5*(QUARTILE($E$5:$E$204,3)-QUARTILE($E$5:$E$204,1))),"Review","Within range")</f>
        <v/>
      </c>
      <c r="T157" s="6">
        <f>IF(COUNTBLANK(A157:E157)&gt;0,"Missing value",IF(COUNTIF(B157:E157,"&lt;0")&gt;0,"Negative value",IF(COUNTIF($A$5:$A$204,A157)&gt;1,"Duplicate market ID",IF(OR(P157="Review",Q157="Review",R157="Review",S157="Review"),"Review outlier","OK"))))</f>
        <v/>
      </c>
    </row>
    <row r="158">
      <c r="A158" s="6">
        <f>Raw_Data!A158</f>
        <v/>
      </c>
      <c r="B158" s="7">
        <f>Raw_Data!B158</f>
        <v/>
      </c>
      <c r="C158" s="7">
        <f>Raw_Data!C158</f>
        <v/>
      </c>
      <c r="D158" s="7">
        <f>Raw_Data!D158</f>
        <v/>
      </c>
      <c r="E158" s="7">
        <f>Raw_Data!E158</f>
        <v/>
      </c>
      <c r="F158" s="7">
        <f>SUM(B158:D158)</f>
        <v/>
      </c>
      <c r="G158" s="8">
        <f>IFERROR(B158/F158,0)</f>
        <v/>
      </c>
      <c r="H158" s="8">
        <f>IFERROR(C158/F158,0)</f>
        <v/>
      </c>
      <c r="I158" s="8">
        <f>IFERROR(D158/F158,0)</f>
        <v/>
      </c>
      <c r="J158" s="9">
        <f>IFERROR(E158/F158,0)</f>
        <v/>
      </c>
      <c r="K158" s="9">
        <f>IFERROR((B158-AVERAGE($B$5:$B$204))/STDEV($B$5:$B$204),0)</f>
        <v/>
      </c>
      <c r="L158" s="9">
        <f>IFERROR((C158-AVERAGE($C$5:$C$204))/STDEV($C$5:$C$204),0)</f>
        <v/>
      </c>
      <c r="M158" s="9">
        <f>IFERROR((D158-AVERAGE($D$5:$D$204))/STDEV($D$5:$D$204),0)</f>
        <v/>
      </c>
      <c r="N158" s="9">
        <f>IFERROR((E158-AVERAGE($E$5:$E$204))/STDEV($E$5:$E$204),0)</f>
        <v/>
      </c>
      <c r="O158" s="9">
        <f>IFERROR((F158-AVERAGE($F$5:$F$204))/STDEV($F$5:$F$204),0)</f>
        <v/>
      </c>
      <c r="P158" s="6">
        <f>IF(OR(B158&lt;QUARTILE($B$5:$B$204,1)-1.5*(QUARTILE($B$5:$B$204,3)-QUARTILE($B$5:$B$204,1)),B158&gt;QUARTILE($B$5:$B$204,3)+1.5*(QUARTILE($B$5:$B$204,3)-QUARTILE($B$5:$B$204,1))),"Review","Within range")</f>
        <v/>
      </c>
      <c r="Q158" s="6">
        <f>IF(OR(C158&lt;QUARTILE($C$5:$C$204,1)-1.5*(QUARTILE($C$5:$C$204,3)-QUARTILE($C$5:$C$204,1)),C158&gt;QUARTILE($C$5:$C$204,3)+1.5*(QUARTILE($C$5:$C$204,3)-QUARTILE($C$5:$C$204,1))),"Review","Within range")</f>
        <v/>
      </c>
      <c r="R158" s="6">
        <f>IF(OR(D158&lt;QUARTILE($D$5:$D$204,1)-1.5*(QUARTILE($D$5:$D$204,3)-QUARTILE($D$5:$D$204,1)),D158&gt;QUARTILE($D$5:$D$204,3)+1.5*(QUARTILE($D$5:$D$204,3)-QUARTILE($D$5:$D$204,1))),"Review","Within range")</f>
        <v/>
      </c>
      <c r="S158" s="6">
        <f>IF(OR(E158&lt;QUARTILE($E$5:$E$204,1)-1.5*(QUARTILE($E$5:$E$204,3)-QUARTILE($E$5:$E$204,1)),E158&gt;QUARTILE($E$5:$E$204,3)+1.5*(QUARTILE($E$5:$E$204,3)-QUARTILE($E$5:$E$204,1))),"Review","Within range")</f>
        <v/>
      </c>
      <c r="T158" s="6">
        <f>IF(COUNTBLANK(A158:E158)&gt;0,"Missing value",IF(COUNTIF(B158:E158,"&lt;0")&gt;0,"Negative value",IF(COUNTIF($A$5:$A$204,A158)&gt;1,"Duplicate market ID",IF(OR(P158="Review",Q158="Review",R158="Review",S158="Review"),"Review outlier","OK"))))</f>
        <v/>
      </c>
    </row>
    <row r="159">
      <c r="A159" s="6">
        <f>Raw_Data!A159</f>
        <v/>
      </c>
      <c r="B159" s="7">
        <f>Raw_Data!B159</f>
        <v/>
      </c>
      <c r="C159" s="7">
        <f>Raw_Data!C159</f>
        <v/>
      </c>
      <c r="D159" s="7">
        <f>Raw_Data!D159</f>
        <v/>
      </c>
      <c r="E159" s="7">
        <f>Raw_Data!E159</f>
        <v/>
      </c>
      <c r="F159" s="7">
        <f>SUM(B159:D159)</f>
        <v/>
      </c>
      <c r="G159" s="8">
        <f>IFERROR(B159/F159,0)</f>
        <v/>
      </c>
      <c r="H159" s="8">
        <f>IFERROR(C159/F159,0)</f>
        <v/>
      </c>
      <c r="I159" s="8">
        <f>IFERROR(D159/F159,0)</f>
        <v/>
      </c>
      <c r="J159" s="9">
        <f>IFERROR(E159/F159,0)</f>
        <v/>
      </c>
      <c r="K159" s="9">
        <f>IFERROR((B159-AVERAGE($B$5:$B$204))/STDEV($B$5:$B$204),0)</f>
        <v/>
      </c>
      <c r="L159" s="9">
        <f>IFERROR((C159-AVERAGE($C$5:$C$204))/STDEV($C$5:$C$204),0)</f>
        <v/>
      </c>
      <c r="M159" s="9">
        <f>IFERROR((D159-AVERAGE($D$5:$D$204))/STDEV($D$5:$D$204),0)</f>
        <v/>
      </c>
      <c r="N159" s="9">
        <f>IFERROR((E159-AVERAGE($E$5:$E$204))/STDEV($E$5:$E$204),0)</f>
        <v/>
      </c>
      <c r="O159" s="9">
        <f>IFERROR((F159-AVERAGE($F$5:$F$204))/STDEV($F$5:$F$204),0)</f>
        <v/>
      </c>
      <c r="P159" s="6">
        <f>IF(OR(B159&lt;QUARTILE($B$5:$B$204,1)-1.5*(QUARTILE($B$5:$B$204,3)-QUARTILE($B$5:$B$204,1)),B159&gt;QUARTILE($B$5:$B$204,3)+1.5*(QUARTILE($B$5:$B$204,3)-QUARTILE($B$5:$B$204,1))),"Review","Within range")</f>
        <v/>
      </c>
      <c r="Q159" s="6">
        <f>IF(OR(C159&lt;QUARTILE($C$5:$C$204,1)-1.5*(QUARTILE($C$5:$C$204,3)-QUARTILE($C$5:$C$204,1)),C159&gt;QUARTILE($C$5:$C$204,3)+1.5*(QUARTILE($C$5:$C$204,3)-QUARTILE($C$5:$C$204,1))),"Review","Within range")</f>
        <v/>
      </c>
      <c r="R159" s="6">
        <f>IF(OR(D159&lt;QUARTILE($D$5:$D$204,1)-1.5*(QUARTILE($D$5:$D$204,3)-QUARTILE($D$5:$D$204,1)),D159&gt;QUARTILE($D$5:$D$204,3)+1.5*(QUARTILE($D$5:$D$204,3)-QUARTILE($D$5:$D$204,1))),"Review","Within range")</f>
        <v/>
      </c>
      <c r="S159" s="6">
        <f>IF(OR(E159&lt;QUARTILE($E$5:$E$204,1)-1.5*(QUARTILE($E$5:$E$204,3)-QUARTILE($E$5:$E$204,1)),E159&gt;QUARTILE($E$5:$E$204,3)+1.5*(QUARTILE($E$5:$E$204,3)-QUARTILE($E$5:$E$204,1))),"Review","Within range")</f>
        <v/>
      </c>
      <c r="T159" s="6">
        <f>IF(COUNTBLANK(A159:E159)&gt;0,"Missing value",IF(COUNTIF(B159:E159,"&lt;0")&gt;0,"Negative value",IF(COUNTIF($A$5:$A$204,A159)&gt;1,"Duplicate market ID",IF(OR(P159="Review",Q159="Review",R159="Review",S159="Review"),"Review outlier","OK"))))</f>
        <v/>
      </c>
    </row>
    <row r="160">
      <c r="A160" s="6">
        <f>Raw_Data!A160</f>
        <v/>
      </c>
      <c r="B160" s="7">
        <f>Raw_Data!B160</f>
        <v/>
      </c>
      <c r="C160" s="7">
        <f>Raw_Data!C160</f>
        <v/>
      </c>
      <c r="D160" s="7">
        <f>Raw_Data!D160</f>
        <v/>
      </c>
      <c r="E160" s="7">
        <f>Raw_Data!E160</f>
        <v/>
      </c>
      <c r="F160" s="7">
        <f>SUM(B160:D160)</f>
        <v/>
      </c>
      <c r="G160" s="8">
        <f>IFERROR(B160/F160,0)</f>
        <v/>
      </c>
      <c r="H160" s="8">
        <f>IFERROR(C160/F160,0)</f>
        <v/>
      </c>
      <c r="I160" s="8">
        <f>IFERROR(D160/F160,0)</f>
        <v/>
      </c>
      <c r="J160" s="9">
        <f>IFERROR(E160/F160,0)</f>
        <v/>
      </c>
      <c r="K160" s="9">
        <f>IFERROR((B160-AVERAGE($B$5:$B$204))/STDEV($B$5:$B$204),0)</f>
        <v/>
      </c>
      <c r="L160" s="9">
        <f>IFERROR((C160-AVERAGE($C$5:$C$204))/STDEV($C$5:$C$204),0)</f>
        <v/>
      </c>
      <c r="M160" s="9">
        <f>IFERROR((D160-AVERAGE($D$5:$D$204))/STDEV($D$5:$D$204),0)</f>
        <v/>
      </c>
      <c r="N160" s="9">
        <f>IFERROR((E160-AVERAGE($E$5:$E$204))/STDEV($E$5:$E$204),0)</f>
        <v/>
      </c>
      <c r="O160" s="9">
        <f>IFERROR((F160-AVERAGE($F$5:$F$204))/STDEV($F$5:$F$204),0)</f>
        <v/>
      </c>
      <c r="P160" s="6">
        <f>IF(OR(B160&lt;QUARTILE($B$5:$B$204,1)-1.5*(QUARTILE($B$5:$B$204,3)-QUARTILE($B$5:$B$204,1)),B160&gt;QUARTILE($B$5:$B$204,3)+1.5*(QUARTILE($B$5:$B$204,3)-QUARTILE($B$5:$B$204,1))),"Review","Within range")</f>
        <v/>
      </c>
      <c r="Q160" s="6">
        <f>IF(OR(C160&lt;QUARTILE($C$5:$C$204,1)-1.5*(QUARTILE($C$5:$C$204,3)-QUARTILE($C$5:$C$204,1)),C160&gt;QUARTILE($C$5:$C$204,3)+1.5*(QUARTILE($C$5:$C$204,3)-QUARTILE($C$5:$C$204,1))),"Review","Within range")</f>
        <v/>
      </c>
      <c r="R160" s="6">
        <f>IF(OR(D160&lt;QUARTILE($D$5:$D$204,1)-1.5*(QUARTILE($D$5:$D$204,3)-QUARTILE($D$5:$D$204,1)),D160&gt;QUARTILE($D$5:$D$204,3)+1.5*(QUARTILE($D$5:$D$204,3)-QUARTILE($D$5:$D$204,1))),"Review","Within range")</f>
        <v/>
      </c>
      <c r="S160" s="6">
        <f>IF(OR(E160&lt;QUARTILE($E$5:$E$204,1)-1.5*(QUARTILE($E$5:$E$204,3)-QUARTILE($E$5:$E$204,1)),E160&gt;QUARTILE($E$5:$E$204,3)+1.5*(QUARTILE($E$5:$E$204,3)-QUARTILE($E$5:$E$204,1))),"Review","Within range")</f>
        <v/>
      </c>
      <c r="T160" s="6">
        <f>IF(COUNTBLANK(A160:E160)&gt;0,"Missing value",IF(COUNTIF(B160:E160,"&lt;0")&gt;0,"Negative value",IF(COUNTIF($A$5:$A$204,A160)&gt;1,"Duplicate market ID",IF(OR(P160="Review",Q160="Review",R160="Review",S160="Review"),"Review outlier","OK"))))</f>
        <v/>
      </c>
    </row>
    <row r="161">
      <c r="A161" s="6">
        <f>Raw_Data!A161</f>
        <v/>
      </c>
      <c r="B161" s="7">
        <f>Raw_Data!B161</f>
        <v/>
      </c>
      <c r="C161" s="7">
        <f>Raw_Data!C161</f>
        <v/>
      </c>
      <c r="D161" s="7">
        <f>Raw_Data!D161</f>
        <v/>
      </c>
      <c r="E161" s="7">
        <f>Raw_Data!E161</f>
        <v/>
      </c>
      <c r="F161" s="7">
        <f>SUM(B161:D161)</f>
        <v/>
      </c>
      <c r="G161" s="8">
        <f>IFERROR(B161/F161,0)</f>
        <v/>
      </c>
      <c r="H161" s="8">
        <f>IFERROR(C161/F161,0)</f>
        <v/>
      </c>
      <c r="I161" s="8">
        <f>IFERROR(D161/F161,0)</f>
        <v/>
      </c>
      <c r="J161" s="9">
        <f>IFERROR(E161/F161,0)</f>
        <v/>
      </c>
      <c r="K161" s="9">
        <f>IFERROR((B161-AVERAGE($B$5:$B$204))/STDEV($B$5:$B$204),0)</f>
        <v/>
      </c>
      <c r="L161" s="9">
        <f>IFERROR((C161-AVERAGE($C$5:$C$204))/STDEV($C$5:$C$204),0)</f>
        <v/>
      </c>
      <c r="M161" s="9">
        <f>IFERROR((D161-AVERAGE($D$5:$D$204))/STDEV($D$5:$D$204),0)</f>
        <v/>
      </c>
      <c r="N161" s="9">
        <f>IFERROR((E161-AVERAGE($E$5:$E$204))/STDEV($E$5:$E$204),0)</f>
        <v/>
      </c>
      <c r="O161" s="9">
        <f>IFERROR((F161-AVERAGE($F$5:$F$204))/STDEV($F$5:$F$204),0)</f>
        <v/>
      </c>
      <c r="P161" s="6">
        <f>IF(OR(B161&lt;QUARTILE($B$5:$B$204,1)-1.5*(QUARTILE($B$5:$B$204,3)-QUARTILE($B$5:$B$204,1)),B161&gt;QUARTILE($B$5:$B$204,3)+1.5*(QUARTILE($B$5:$B$204,3)-QUARTILE($B$5:$B$204,1))),"Review","Within range")</f>
        <v/>
      </c>
      <c r="Q161" s="6">
        <f>IF(OR(C161&lt;QUARTILE($C$5:$C$204,1)-1.5*(QUARTILE($C$5:$C$204,3)-QUARTILE($C$5:$C$204,1)),C161&gt;QUARTILE($C$5:$C$204,3)+1.5*(QUARTILE($C$5:$C$204,3)-QUARTILE($C$5:$C$204,1))),"Review","Within range")</f>
        <v/>
      </c>
      <c r="R161" s="6">
        <f>IF(OR(D161&lt;QUARTILE($D$5:$D$204,1)-1.5*(QUARTILE($D$5:$D$204,3)-QUARTILE($D$5:$D$204,1)),D161&gt;QUARTILE($D$5:$D$204,3)+1.5*(QUARTILE($D$5:$D$204,3)-QUARTILE($D$5:$D$204,1))),"Review","Within range")</f>
        <v/>
      </c>
      <c r="S161" s="6">
        <f>IF(OR(E161&lt;QUARTILE($E$5:$E$204,1)-1.5*(QUARTILE($E$5:$E$204,3)-QUARTILE($E$5:$E$204,1)),E161&gt;QUARTILE($E$5:$E$204,3)+1.5*(QUARTILE($E$5:$E$204,3)-QUARTILE($E$5:$E$204,1))),"Review","Within range")</f>
        <v/>
      </c>
      <c r="T161" s="6">
        <f>IF(COUNTBLANK(A161:E161)&gt;0,"Missing value",IF(COUNTIF(B161:E161,"&lt;0")&gt;0,"Negative value",IF(COUNTIF($A$5:$A$204,A161)&gt;1,"Duplicate market ID",IF(OR(P161="Review",Q161="Review",R161="Review",S161="Review"),"Review outlier","OK"))))</f>
        <v/>
      </c>
    </row>
    <row r="162">
      <c r="A162" s="6">
        <f>Raw_Data!A162</f>
        <v/>
      </c>
      <c r="B162" s="7">
        <f>Raw_Data!B162</f>
        <v/>
      </c>
      <c r="C162" s="7">
        <f>Raw_Data!C162</f>
        <v/>
      </c>
      <c r="D162" s="7">
        <f>Raw_Data!D162</f>
        <v/>
      </c>
      <c r="E162" s="7">
        <f>Raw_Data!E162</f>
        <v/>
      </c>
      <c r="F162" s="7">
        <f>SUM(B162:D162)</f>
        <v/>
      </c>
      <c r="G162" s="8">
        <f>IFERROR(B162/F162,0)</f>
        <v/>
      </c>
      <c r="H162" s="8">
        <f>IFERROR(C162/F162,0)</f>
        <v/>
      </c>
      <c r="I162" s="8">
        <f>IFERROR(D162/F162,0)</f>
        <v/>
      </c>
      <c r="J162" s="9">
        <f>IFERROR(E162/F162,0)</f>
        <v/>
      </c>
      <c r="K162" s="9">
        <f>IFERROR((B162-AVERAGE($B$5:$B$204))/STDEV($B$5:$B$204),0)</f>
        <v/>
      </c>
      <c r="L162" s="9">
        <f>IFERROR((C162-AVERAGE($C$5:$C$204))/STDEV($C$5:$C$204),0)</f>
        <v/>
      </c>
      <c r="M162" s="9">
        <f>IFERROR((D162-AVERAGE($D$5:$D$204))/STDEV($D$5:$D$204),0)</f>
        <v/>
      </c>
      <c r="N162" s="9">
        <f>IFERROR((E162-AVERAGE($E$5:$E$204))/STDEV($E$5:$E$204),0)</f>
        <v/>
      </c>
      <c r="O162" s="9">
        <f>IFERROR((F162-AVERAGE($F$5:$F$204))/STDEV($F$5:$F$204),0)</f>
        <v/>
      </c>
      <c r="P162" s="6">
        <f>IF(OR(B162&lt;QUARTILE($B$5:$B$204,1)-1.5*(QUARTILE($B$5:$B$204,3)-QUARTILE($B$5:$B$204,1)),B162&gt;QUARTILE($B$5:$B$204,3)+1.5*(QUARTILE($B$5:$B$204,3)-QUARTILE($B$5:$B$204,1))),"Review","Within range")</f>
        <v/>
      </c>
      <c r="Q162" s="6">
        <f>IF(OR(C162&lt;QUARTILE($C$5:$C$204,1)-1.5*(QUARTILE($C$5:$C$204,3)-QUARTILE($C$5:$C$204,1)),C162&gt;QUARTILE($C$5:$C$204,3)+1.5*(QUARTILE($C$5:$C$204,3)-QUARTILE($C$5:$C$204,1))),"Review","Within range")</f>
        <v/>
      </c>
      <c r="R162" s="6">
        <f>IF(OR(D162&lt;QUARTILE($D$5:$D$204,1)-1.5*(QUARTILE($D$5:$D$204,3)-QUARTILE($D$5:$D$204,1)),D162&gt;QUARTILE($D$5:$D$204,3)+1.5*(QUARTILE($D$5:$D$204,3)-QUARTILE($D$5:$D$204,1))),"Review","Within range")</f>
        <v/>
      </c>
      <c r="S162" s="6">
        <f>IF(OR(E162&lt;QUARTILE($E$5:$E$204,1)-1.5*(QUARTILE($E$5:$E$204,3)-QUARTILE($E$5:$E$204,1)),E162&gt;QUARTILE($E$5:$E$204,3)+1.5*(QUARTILE($E$5:$E$204,3)-QUARTILE($E$5:$E$204,1))),"Review","Within range")</f>
        <v/>
      </c>
      <c r="T162" s="6">
        <f>IF(COUNTBLANK(A162:E162)&gt;0,"Missing value",IF(COUNTIF(B162:E162,"&lt;0")&gt;0,"Negative value",IF(COUNTIF($A$5:$A$204,A162)&gt;1,"Duplicate market ID",IF(OR(P162="Review",Q162="Review",R162="Review",S162="Review"),"Review outlier","OK"))))</f>
        <v/>
      </c>
    </row>
    <row r="163">
      <c r="A163" s="6">
        <f>Raw_Data!A163</f>
        <v/>
      </c>
      <c r="B163" s="7">
        <f>Raw_Data!B163</f>
        <v/>
      </c>
      <c r="C163" s="7">
        <f>Raw_Data!C163</f>
        <v/>
      </c>
      <c r="D163" s="7">
        <f>Raw_Data!D163</f>
        <v/>
      </c>
      <c r="E163" s="7">
        <f>Raw_Data!E163</f>
        <v/>
      </c>
      <c r="F163" s="7">
        <f>SUM(B163:D163)</f>
        <v/>
      </c>
      <c r="G163" s="8">
        <f>IFERROR(B163/F163,0)</f>
        <v/>
      </c>
      <c r="H163" s="8">
        <f>IFERROR(C163/F163,0)</f>
        <v/>
      </c>
      <c r="I163" s="8">
        <f>IFERROR(D163/F163,0)</f>
        <v/>
      </c>
      <c r="J163" s="9">
        <f>IFERROR(E163/F163,0)</f>
        <v/>
      </c>
      <c r="K163" s="9">
        <f>IFERROR((B163-AVERAGE($B$5:$B$204))/STDEV($B$5:$B$204),0)</f>
        <v/>
      </c>
      <c r="L163" s="9">
        <f>IFERROR((C163-AVERAGE($C$5:$C$204))/STDEV($C$5:$C$204),0)</f>
        <v/>
      </c>
      <c r="M163" s="9">
        <f>IFERROR((D163-AVERAGE($D$5:$D$204))/STDEV($D$5:$D$204),0)</f>
        <v/>
      </c>
      <c r="N163" s="9">
        <f>IFERROR((E163-AVERAGE($E$5:$E$204))/STDEV($E$5:$E$204),0)</f>
        <v/>
      </c>
      <c r="O163" s="9">
        <f>IFERROR((F163-AVERAGE($F$5:$F$204))/STDEV($F$5:$F$204),0)</f>
        <v/>
      </c>
      <c r="P163" s="6">
        <f>IF(OR(B163&lt;QUARTILE($B$5:$B$204,1)-1.5*(QUARTILE($B$5:$B$204,3)-QUARTILE($B$5:$B$204,1)),B163&gt;QUARTILE($B$5:$B$204,3)+1.5*(QUARTILE($B$5:$B$204,3)-QUARTILE($B$5:$B$204,1))),"Review","Within range")</f>
        <v/>
      </c>
      <c r="Q163" s="6">
        <f>IF(OR(C163&lt;QUARTILE($C$5:$C$204,1)-1.5*(QUARTILE($C$5:$C$204,3)-QUARTILE($C$5:$C$204,1)),C163&gt;QUARTILE($C$5:$C$204,3)+1.5*(QUARTILE($C$5:$C$204,3)-QUARTILE($C$5:$C$204,1))),"Review","Within range")</f>
        <v/>
      </c>
      <c r="R163" s="6">
        <f>IF(OR(D163&lt;QUARTILE($D$5:$D$204,1)-1.5*(QUARTILE($D$5:$D$204,3)-QUARTILE($D$5:$D$204,1)),D163&gt;QUARTILE($D$5:$D$204,3)+1.5*(QUARTILE($D$5:$D$204,3)-QUARTILE($D$5:$D$204,1))),"Review","Within range")</f>
        <v/>
      </c>
      <c r="S163" s="6">
        <f>IF(OR(E163&lt;QUARTILE($E$5:$E$204,1)-1.5*(QUARTILE($E$5:$E$204,3)-QUARTILE($E$5:$E$204,1)),E163&gt;QUARTILE($E$5:$E$204,3)+1.5*(QUARTILE($E$5:$E$204,3)-QUARTILE($E$5:$E$204,1))),"Review","Within range")</f>
        <v/>
      </c>
      <c r="T163" s="6">
        <f>IF(COUNTBLANK(A163:E163)&gt;0,"Missing value",IF(COUNTIF(B163:E163,"&lt;0")&gt;0,"Negative value",IF(COUNTIF($A$5:$A$204,A163)&gt;1,"Duplicate market ID",IF(OR(P163="Review",Q163="Review",R163="Review",S163="Review"),"Review outlier","OK"))))</f>
        <v/>
      </c>
    </row>
    <row r="164">
      <c r="A164" s="6">
        <f>Raw_Data!A164</f>
        <v/>
      </c>
      <c r="B164" s="7">
        <f>Raw_Data!B164</f>
        <v/>
      </c>
      <c r="C164" s="7">
        <f>Raw_Data!C164</f>
        <v/>
      </c>
      <c r="D164" s="7">
        <f>Raw_Data!D164</f>
        <v/>
      </c>
      <c r="E164" s="7">
        <f>Raw_Data!E164</f>
        <v/>
      </c>
      <c r="F164" s="7">
        <f>SUM(B164:D164)</f>
        <v/>
      </c>
      <c r="G164" s="8">
        <f>IFERROR(B164/F164,0)</f>
        <v/>
      </c>
      <c r="H164" s="8">
        <f>IFERROR(C164/F164,0)</f>
        <v/>
      </c>
      <c r="I164" s="8">
        <f>IFERROR(D164/F164,0)</f>
        <v/>
      </c>
      <c r="J164" s="9">
        <f>IFERROR(E164/F164,0)</f>
        <v/>
      </c>
      <c r="K164" s="9">
        <f>IFERROR((B164-AVERAGE($B$5:$B$204))/STDEV($B$5:$B$204),0)</f>
        <v/>
      </c>
      <c r="L164" s="9">
        <f>IFERROR((C164-AVERAGE($C$5:$C$204))/STDEV($C$5:$C$204),0)</f>
        <v/>
      </c>
      <c r="M164" s="9">
        <f>IFERROR((D164-AVERAGE($D$5:$D$204))/STDEV($D$5:$D$204),0)</f>
        <v/>
      </c>
      <c r="N164" s="9">
        <f>IFERROR((E164-AVERAGE($E$5:$E$204))/STDEV($E$5:$E$204),0)</f>
        <v/>
      </c>
      <c r="O164" s="9">
        <f>IFERROR((F164-AVERAGE($F$5:$F$204))/STDEV($F$5:$F$204),0)</f>
        <v/>
      </c>
      <c r="P164" s="6">
        <f>IF(OR(B164&lt;QUARTILE($B$5:$B$204,1)-1.5*(QUARTILE($B$5:$B$204,3)-QUARTILE($B$5:$B$204,1)),B164&gt;QUARTILE($B$5:$B$204,3)+1.5*(QUARTILE($B$5:$B$204,3)-QUARTILE($B$5:$B$204,1))),"Review","Within range")</f>
        <v/>
      </c>
      <c r="Q164" s="6">
        <f>IF(OR(C164&lt;QUARTILE($C$5:$C$204,1)-1.5*(QUARTILE($C$5:$C$204,3)-QUARTILE($C$5:$C$204,1)),C164&gt;QUARTILE($C$5:$C$204,3)+1.5*(QUARTILE($C$5:$C$204,3)-QUARTILE($C$5:$C$204,1))),"Review","Within range")</f>
        <v/>
      </c>
      <c r="R164" s="6">
        <f>IF(OR(D164&lt;QUARTILE($D$5:$D$204,1)-1.5*(QUARTILE($D$5:$D$204,3)-QUARTILE($D$5:$D$204,1)),D164&gt;QUARTILE($D$5:$D$204,3)+1.5*(QUARTILE($D$5:$D$204,3)-QUARTILE($D$5:$D$204,1))),"Review","Within range")</f>
        <v/>
      </c>
      <c r="S164" s="6">
        <f>IF(OR(E164&lt;QUARTILE($E$5:$E$204,1)-1.5*(QUARTILE($E$5:$E$204,3)-QUARTILE($E$5:$E$204,1)),E164&gt;QUARTILE($E$5:$E$204,3)+1.5*(QUARTILE($E$5:$E$204,3)-QUARTILE($E$5:$E$204,1))),"Review","Within range")</f>
        <v/>
      </c>
      <c r="T164" s="6">
        <f>IF(COUNTBLANK(A164:E164)&gt;0,"Missing value",IF(COUNTIF(B164:E164,"&lt;0")&gt;0,"Negative value",IF(COUNTIF($A$5:$A$204,A164)&gt;1,"Duplicate market ID",IF(OR(P164="Review",Q164="Review",R164="Review",S164="Review"),"Review outlier","OK"))))</f>
        <v/>
      </c>
    </row>
    <row r="165">
      <c r="A165" s="6">
        <f>Raw_Data!A165</f>
        <v/>
      </c>
      <c r="B165" s="7">
        <f>Raw_Data!B165</f>
        <v/>
      </c>
      <c r="C165" s="7">
        <f>Raw_Data!C165</f>
        <v/>
      </c>
      <c r="D165" s="7">
        <f>Raw_Data!D165</f>
        <v/>
      </c>
      <c r="E165" s="7">
        <f>Raw_Data!E165</f>
        <v/>
      </c>
      <c r="F165" s="7">
        <f>SUM(B165:D165)</f>
        <v/>
      </c>
      <c r="G165" s="8">
        <f>IFERROR(B165/F165,0)</f>
        <v/>
      </c>
      <c r="H165" s="8">
        <f>IFERROR(C165/F165,0)</f>
        <v/>
      </c>
      <c r="I165" s="8">
        <f>IFERROR(D165/F165,0)</f>
        <v/>
      </c>
      <c r="J165" s="9">
        <f>IFERROR(E165/F165,0)</f>
        <v/>
      </c>
      <c r="K165" s="9">
        <f>IFERROR((B165-AVERAGE($B$5:$B$204))/STDEV($B$5:$B$204),0)</f>
        <v/>
      </c>
      <c r="L165" s="9">
        <f>IFERROR((C165-AVERAGE($C$5:$C$204))/STDEV($C$5:$C$204),0)</f>
        <v/>
      </c>
      <c r="M165" s="9">
        <f>IFERROR((D165-AVERAGE($D$5:$D$204))/STDEV($D$5:$D$204),0)</f>
        <v/>
      </c>
      <c r="N165" s="9">
        <f>IFERROR((E165-AVERAGE($E$5:$E$204))/STDEV($E$5:$E$204),0)</f>
        <v/>
      </c>
      <c r="O165" s="9">
        <f>IFERROR((F165-AVERAGE($F$5:$F$204))/STDEV($F$5:$F$204),0)</f>
        <v/>
      </c>
      <c r="P165" s="6">
        <f>IF(OR(B165&lt;QUARTILE($B$5:$B$204,1)-1.5*(QUARTILE($B$5:$B$204,3)-QUARTILE($B$5:$B$204,1)),B165&gt;QUARTILE($B$5:$B$204,3)+1.5*(QUARTILE($B$5:$B$204,3)-QUARTILE($B$5:$B$204,1))),"Review","Within range")</f>
        <v/>
      </c>
      <c r="Q165" s="6">
        <f>IF(OR(C165&lt;QUARTILE($C$5:$C$204,1)-1.5*(QUARTILE($C$5:$C$204,3)-QUARTILE($C$5:$C$204,1)),C165&gt;QUARTILE($C$5:$C$204,3)+1.5*(QUARTILE($C$5:$C$204,3)-QUARTILE($C$5:$C$204,1))),"Review","Within range")</f>
        <v/>
      </c>
      <c r="R165" s="6">
        <f>IF(OR(D165&lt;QUARTILE($D$5:$D$204,1)-1.5*(QUARTILE($D$5:$D$204,3)-QUARTILE($D$5:$D$204,1)),D165&gt;QUARTILE($D$5:$D$204,3)+1.5*(QUARTILE($D$5:$D$204,3)-QUARTILE($D$5:$D$204,1))),"Review","Within range")</f>
        <v/>
      </c>
      <c r="S165" s="6">
        <f>IF(OR(E165&lt;QUARTILE($E$5:$E$204,1)-1.5*(QUARTILE($E$5:$E$204,3)-QUARTILE($E$5:$E$204,1)),E165&gt;QUARTILE($E$5:$E$204,3)+1.5*(QUARTILE($E$5:$E$204,3)-QUARTILE($E$5:$E$204,1))),"Review","Within range")</f>
        <v/>
      </c>
      <c r="T165" s="6">
        <f>IF(COUNTBLANK(A165:E165)&gt;0,"Missing value",IF(COUNTIF(B165:E165,"&lt;0")&gt;0,"Negative value",IF(COUNTIF($A$5:$A$204,A165)&gt;1,"Duplicate market ID",IF(OR(P165="Review",Q165="Review",R165="Review",S165="Review"),"Review outlier","OK"))))</f>
        <v/>
      </c>
    </row>
    <row r="166">
      <c r="A166" s="6">
        <f>Raw_Data!A166</f>
        <v/>
      </c>
      <c r="B166" s="7">
        <f>Raw_Data!B166</f>
        <v/>
      </c>
      <c r="C166" s="7">
        <f>Raw_Data!C166</f>
        <v/>
      </c>
      <c r="D166" s="7">
        <f>Raw_Data!D166</f>
        <v/>
      </c>
      <c r="E166" s="7">
        <f>Raw_Data!E166</f>
        <v/>
      </c>
      <c r="F166" s="7">
        <f>SUM(B166:D166)</f>
        <v/>
      </c>
      <c r="G166" s="8">
        <f>IFERROR(B166/F166,0)</f>
        <v/>
      </c>
      <c r="H166" s="8">
        <f>IFERROR(C166/F166,0)</f>
        <v/>
      </c>
      <c r="I166" s="8">
        <f>IFERROR(D166/F166,0)</f>
        <v/>
      </c>
      <c r="J166" s="9">
        <f>IFERROR(E166/F166,0)</f>
        <v/>
      </c>
      <c r="K166" s="9">
        <f>IFERROR((B166-AVERAGE($B$5:$B$204))/STDEV($B$5:$B$204),0)</f>
        <v/>
      </c>
      <c r="L166" s="9">
        <f>IFERROR((C166-AVERAGE($C$5:$C$204))/STDEV($C$5:$C$204),0)</f>
        <v/>
      </c>
      <c r="M166" s="9">
        <f>IFERROR((D166-AVERAGE($D$5:$D$204))/STDEV($D$5:$D$204),0)</f>
        <v/>
      </c>
      <c r="N166" s="9">
        <f>IFERROR((E166-AVERAGE($E$5:$E$204))/STDEV($E$5:$E$204),0)</f>
        <v/>
      </c>
      <c r="O166" s="9">
        <f>IFERROR((F166-AVERAGE($F$5:$F$204))/STDEV($F$5:$F$204),0)</f>
        <v/>
      </c>
      <c r="P166" s="6">
        <f>IF(OR(B166&lt;QUARTILE($B$5:$B$204,1)-1.5*(QUARTILE($B$5:$B$204,3)-QUARTILE($B$5:$B$204,1)),B166&gt;QUARTILE($B$5:$B$204,3)+1.5*(QUARTILE($B$5:$B$204,3)-QUARTILE($B$5:$B$204,1))),"Review","Within range")</f>
        <v/>
      </c>
      <c r="Q166" s="6">
        <f>IF(OR(C166&lt;QUARTILE($C$5:$C$204,1)-1.5*(QUARTILE($C$5:$C$204,3)-QUARTILE($C$5:$C$204,1)),C166&gt;QUARTILE($C$5:$C$204,3)+1.5*(QUARTILE($C$5:$C$204,3)-QUARTILE($C$5:$C$204,1))),"Review","Within range")</f>
        <v/>
      </c>
      <c r="R166" s="6">
        <f>IF(OR(D166&lt;QUARTILE($D$5:$D$204,1)-1.5*(QUARTILE($D$5:$D$204,3)-QUARTILE($D$5:$D$204,1)),D166&gt;QUARTILE($D$5:$D$204,3)+1.5*(QUARTILE($D$5:$D$204,3)-QUARTILE($D$5:$D$204,1))),"Review","Within range")</f>
        <v/>
      </c>
      <c r="S166" s="6">
        <f>IF(OR(E166&lt;QUARTILE($E$5:$E$204,1)-1.5*(QUARTILE($E$5:$E$204,3)-QUARTILE($E$5:$E$204,1)),E166&gt;QUARTILE($E$5:$E$204,3)+1.5*(QUARTILE($E$5:$E$204,3)-QUARTILE($E$5:$E$204,1))),"Review","Within range")</f>
        <v/>
      </c>
      <c r="T166" s="6">
        <f>IF(COUNTBLANK(A166:E166)&gt;0,"Missing value",IF(COUNTIF(B166:E166,"&lt;0")&gt;0,"Negative value",IF(COUNTIF($A$5:$A$204,A166)&gt;1,"Duplicate market ID",IF(OR(P166="Review",Q166="Review",R166="Review",S166="Review"),"Review outlier","OK"))))</f>
        <v/>
      </c>
    </row>
    <row r="167">
      <c r="A167" s="6">
        <f>Raw_Data!A167</f>
        <v/>
      </c>
      <c r="B167" s="7">
        <f>Raw_Data!B167</f>
        <v/>
      </c>
      <c r="C167" s="7">
        <f>Raw_Data!C167</f>
        <v/>
      </c>
      <c r="D167" s="7">
        <f>Raw_Data!D167</f>
        <v/>
      </c>
      <c r="E167" s="7">
        <f>Raw_Data!E167</f>
        <v/>
      </c>
      <c r="F167" s="7">
        <f>SUM(B167:D167)</f>
        <v/>
      </c>
      <c r="G167" s="8">
        <f>IFERROR(B167/F167,0)</f>
        <v/>
      </c>
      <c r="H167" s="8">
        <f>IFERROR(C167/F167,0)</f>
        <v/>
      </c>
      <c r="I167" s="8">
        <f>IFERROR(D167/F167,0)</f>
        <v/>
      </c>
      <c r="J167" s="9">
        <f>IFERROR(E167/F167,0)</f>
        <v/>
      </c>
      <c r="K167" s="9">
        <f>IFERROR((B167-AVERAGE($B$5:$B$204))/STDEV($B$5:$B$204),0)</f>
        <v/>
      </c>
      <c r="L167" s="9">
        <f>IFERROR((C167-AVERAGE($C$5:$C$204))/STDEV($C$5:$C$204),0)</f>
        <v/>
      </c>
      <c r="M167" s="9">
        <f>IFERROR((D167-AVERAGE($D$5:$D$204))/STDEV($D$5:$D$204),0)</f>
        <v/>
      </c>
      <c r="N167" s="9">
        <f>IFERROR((E167-AVERAGE($E$5:$E$204))/STDEV($E$5:$E$204),0)</f>
        <v/>
      </c>
      <c r="O167" s="9">
        <f>IFERROR((F167-AVERAGE($F$5:$F$204))/STDEV($F$5:$F$204),0)</f>
        <v/>
      </c>
      <c r="P167" s="6">
        <f>IF(OR(B167&lt;QUARTILE($B$5:$B$204,1)-1.5*(QUARTILE($B$5:$B$204,3)-QUARTILE($B$5:$B$204,1)),B167&gt;QUARTILE($B$5:$B$204,3)+1.5*(QUARTILE($B$5:$B$204,3)-QUARTILE($B$5:$B$204,1))),"Review","Within range")</f>
        <v/>
      </c>
      <c r="Q167" s="6">
        <f>IF(OR(C167&lt;QUARTILE($C$5:$C$204,1)-1.5*(QUARTILE($C$5:$C$204,3)-QUARTILE($C$5:$C$204,1)),C167&gt;QUARTILE($C$5:$C$204,3)+1.5*(QUARTILE($C$5:$C$204,3)-QUARTILE($C$5:$C$204,1))),"Review","Within range")</f>
        <v/>
      </c>
      <c r="R167" s="6">
        <f>IF(OR(D167&lt;QUARTILE($D$5:$D$204,1)-1.5*(QUARTILE($D$5:$D$204,3)-QUARTILE($D$5:$D$204,1)),D167&gt;QUARTILE($D$5:$D$204,3)+1.5*(QUARTILE($D$5:$D$204,3)-QUARTILE($D$5:$D$204,1))),"Review","Within range")</f>
        <v/>
      </c>
      <c r="S167" s="6">
        <f>IF(OR(E167&lt;QUARTILE($E$5:$E$204,1)-1.5*(QUARTILE($E$5:$E$204,3)-QUARTILE($E$5:$E$204,1)),E167&gt;QUARTILE($E$5:$E$204,3)+1.5*(QUARTILE($E$5:$E$204,3)-QUARTILE($E$5:$E$204,1))),"Review","Within range")</f>
        <v/>
      </c>
      <c r="T167" s="6">
        <f>IF(COUNTBLANK(A167:E167)&gt;0,"Missing value",IF(COUNTIF(B167:E167,"&lt;0")&gt;0,"Negative value",IF(COUNTIF($A$5:$A$204,A167)&gt;1,"Duplicate market ID",IF(OR(P167="Review",Q167="Review",R167="Review",S167="Review"),"Review outlier","OK"))))</f>
        <v/>
      </c>
    </row>
    <row r="168">
      <c r="A168" s="6">
        <f>Raw_Data!A168</f>
        <v/>
      </c>
      <c r="B168" s="7">
        <f>Raw_Data!B168</f>
        <v/>
      </c>
      <c r="C168" s="7">
        <f>Raw_Data!C168</f>
        <v/>
      </c>
      <c r="D168" s="7">
        <f>Raw_Data!D168</f>
        <v/>
      </c>
      <c r="E168" s="7">
        <f>Raw_Data!E168</f>
        <v/>
      </c>
      <c r="F168" s="7">
        <f>SUM(B168:D168)</f>
        <v/>
      </c>
      <c r="G168" s="8">
        <f>IFERROR(B168/F168,0)</f>
        <v/>
      </c>
      <c r="H168" s="8">
        <f>IFERROR(C168/F168,0)</f>
        <v/>
      </c>
      <c r="I168" s="8">
        <f>IFERROR(D168/F168,0)</f>
        <v/>
      </c>
      <c r="J168" s="9">
        <f>IFERROR(E168/F168,0)</f>
        <v/>
      </c>
      <c r="K168" s="9">
        <f>IFERROR((B168-AVERAGE($B$5:$B$204))/STDEV($B$5:$B$204),0)</f>
        <v/>
      </c>
      <c r="L168" s="9">
        <f>IFERROR((C168-AVERAGE($C$5:$C$204))/STDEV($C$5:$C$204),0)</f>
        <v/>
      </c>
      <c r="M168" s="9">
        <f>IFERROR((D168-AVERAGE($D$5:$D$204))/STDEV($D$5:$D$204),0)</f>
        <v/>
      </c>
      <c r="N168" s="9">
        <f>IFERROR((E168-AVERAGE($E$5:$E$204))/STDEV($E$5:$E$204),0)</f>
        <v/>
      </c>
      <c r="O168" s="9">
        <f>IFERROR((F168-AVERAGE($F$5:$F$204))/STDEV($F$5:$F$204),0)</f>
        <v/>
      </c>
      <c r="P168" s="6">
        <f>IF(OR(B168&lt;QUARTILE($B$5:$B$204,1)-1.5*(QUARTILE($B$5:$B$204,3)-QUARTILE($B$5:$B$204,1)),B168&gt;QUARTILE($B$5:$B$204,3)+1.5*(QUARTILE($B$5:$B$204,3)-QUARTILE($B$5:$B$204,1))),"Review","Within range")</f>
        <v/>
      </c>
      <c r="Q168" s="6">
        <f>IF(OR(C168&lt;QUARTILE($C$5:$C$204,1)-1.5*(QUARTILE($C$5:$C$204,3)-QUARTILE($C$5:$C$204,1)),C168&gt;QUARTILE($C$5:$C$204,3)+1.5*(QUARTILE($C$5:$C$204,3)-QUARTILE($C$5:$C$204,1))),"Review","Within range")</f>
        <v/>
      </c>
      <c r="R168" s="6">
        <f>IF(OR(D168&lt;QUARTILE($D$5:$D$204,1)-1.5*(QUARTILE($D$5:$D$204,3)-QUARTILE($D$5:$D$204,1)),D168&gt;QUARTILE($D$5:$D$204,3)+1.5*(QUARTILE($D$5:$D$204,3)-QUARTILE($D$5:$D$204,1))),"Review","Within range")</f>
        <v/>
      </c>
      <c r="S168" s="6">
        <f>IF(OR(E168&lt;QUARTILE($E$5:$E$204,1)-1.5*(QUARTILE($E$5:$E$204,3)-QUARTILE($E$5:$E$204,1)),E168&gt;QUARTILE($E$5:$E$204,3)+1.5*(QUARTILE($E$5:$E$204,3)-QUARTILE($E$5:$E$204,1))),"Review","Within range")</f>
        <v/>
      </c>
      <c r="T168" s="6">
        <f>IF(COUNTBLANK(A168:E168)&gt;0,"Missing value",IF(COUNTIF(B168:E168,"&lt;0")&gt;0,"Negative value",IF(COUNTIF($A$5:$A$204,A168)&gt;1,"Duplicate market ID",IF(OR(P168="Review",Q168="Review",R168="Review",S168="Review"),"Review outlier","OK"))))</f>
        <v/>
      </c>
    </row>
    <row r="169">
      <c r="A169" s="6">
        <f>Raw_Data!A169</f>
        <v/>
      </c>
      <c r="B169" s="7">
        <f>Raw_Data!B169</f>
        <v/>
      </c>
      <c r="C169" s="7">
        <f>Raw_Data!C169</f>
        <v/>
      </c>
      <c r="D169" s="7">
        <f>Raw_Data!D169</f>
        <v/>
      </c>
      <c r="E169" s="7">
        <f>Raw_Data!E169</f>
        <v/>
      </c>
      <c r="F169" s="7">
        <f>SUM(B169:D169)</f>
        <v/>
      </c>
      <c r="G169" s="8">
        <f>IFERROR(B169/F169,0)</f>
        <v/>
      </c>
      <c r="H169" s="8">
        <f>IFERROR(C169/F169,0)</f>
        <v/>
      </c>
      <c r="I169" s="8">
        <f>IFERROR(D169/F169,0)</f>
        <v/>
      </c>
      <c r="J169" s="9">
        <f>IFERROR(E169/F169,0)</f>
        <v/>
      </c>
      <c r="K169" s="9">
        <f>IFERROR((B169-AVERAGE($B$5:$B$204))/STDEV($B$5:$B$204),0)</f>
        <v/>
      </c>
      <c r="L169" s="9">
        <f>IFERROR((C169-AVERAGE($C$5:$C$204))/STDEV($C$5:$C$204),0)</f>
        <v/>
      </c>
      <c r="M169" s="9">
        <f>IFERROR((D169-AVERAGE($D$5:$D$204))/STDEV($D$5:$D$204),0)</f>
        <v/>
      </c>
      <c r="N169" s="9">
        <f>IFERROR((E169-AVERAGE($E$5:$E$204))/STDEV($E$5:$E$204),0)</f>
        <v/>
      </c>
      <c r="O169" s="9">
        <f>IFERROR((F169-AVERAGE($F$5:$F$204))/STDEV($F$5:$F$204),0)</f>
        <v/>
      </c>
      <c r="P169" s="6">
        <f>IF(OR(B169&lt;QUARTILE($B$5:$B$204,1)-1.5*(QUARTILE($B$5:$B$204,3)-QUARTILE($B$5:$B$204,1)),B169&gt;QUARTILE($B$5:$B$204,3)+1.5*(QUARTILE($B$5:$B$204,3)-QUARTILE($B$5:$B$204,1))),"Review","Within range")</f>
        <v/>
      </c>
      <c r="Q169" s="6">
        <f>IF(OR(C169&lt;QUARTILE($C$5:$C$204,1)-1.5*(QUARTILE($C$5:$C$204,3)-QUARTILE($C$5:$C$204,1)),C169&gt;QUARTILE($C$5:$C$204,3)+1.5*(QUARTILE($C$5:$C$204,3)-QUARTILE($C$5:$C$204,1))),"Review","Within range")</f>
        <v/>
      </c>
      <c r="R169" s="6">
        <f>IF(OR(D169&lt;QUARTILE($D$5:$D$204,1)-1.5*(QUARTILE($D$5:$D$204,3)-QUARTILE($D$5:$D$204,1)),D169&gt;QUARTILE($D$5:$D$204,3)+1.5*(QUARTILE($D$5:$D$204,3)-QUARTILE($D$5:$D$204,1))),"Review","Within range")</f>
        <v/>
      </c>
      <c r="S169" s="6">
        <f>IF(OR(E169&lt;QUARTILE($E$5:$E$204,1)-1.5*(QUARTILE($E$5:$E$204,3)-QUARTILE($E$5:$E$204,1)),E169&gt;QUARTILE($E$5:$E$204,3)+1.5*(QUARTILE($E$5:$E$204,3)-QUARTILE($E$5:$E$204,1))),"Review","Within range")</f>
        <v/>
      </c>
      <c r="T169" s="6">
        <f>IF(COUNTBLANK(A169:E169)&gt;0,"Missing value",IF(COUNTIF(B169:E169,"&lt;0")&gt;0,"Negative value",IF(COUNTIF($A$5:$A$204,A169)&gt;1,"Duplicate market ID",IF(OR(P169="Review",Q169="Review",R169="Review",S169="Review"),"Review outlier","OK"))))</f>
        <v/>
      </c>
    </row>
    <row r="170">
      <c r="A170" s="6">
        <f>Raw_Data!A170</f>
        <v/>
      </c>
      <c r="B170" s="7">
        <f>Raw_Data!B170</f>
        <v/>
      </c>
      <c r="C170" s="7">
        <f>Raw_Data!C170</f>
        <v/>
      </c>
      <c r="D170" s="7">
        <f>Raw_Data!D170</f>
        <v/>
      </c>
      <c r="E170" s="7">
        <f>Raw_Data!E170</f>
        <v/>
      </c>
      <c r="F170" s="7">
        <f>SUM(B170:D170)</f>
        <v/>
      </c>
      <c r="G170" s="8">
        <f>IFERROR(B170/F170,0)</f>
        <v/>
      </c>
      <c r="H170" s="8">
        <f>IFERROR(C170/F170,0)</f>
        <v/>
      </c>
      <c r="I170" s="8">
        <f>IFERROR(D170/F170,0)</f>
        <v/>
      </c>
      <c r="J170" s="9">
        <f>IFERROR(E170/F170,0)</f>
        <v/>
      </c>
      <c r="K170" s="9">
        <f>IFERROR((B170-AVERAGE($B$5:$B$204))/STDEV($B$5:$B$204),0)</f>
        <v/>
      </c>
      <c r="L170" s="9">
        <f>IFERROR((C170-AVERAGE($C$5:$C$204))/STDEV($C$5:$C$204),0)</f>
        <v/>
      </c>
      <c r="M170" s="9">
        <f>IFERROR((D170-AVERAGE($D$5:$D$204))/STDEV($D$5:$D$204),0)</f>
        <v/>
      </c>
      <c r="N170" s="9">
        <f>IFERROR((E170-AVERAGE($E$5:$E$204))/STDEV($E$5:$E$204),0)</f>
        <v/>
      </c>
      <c r="O170" s="9">
        <f>IFERROR((F170-AVERAGE($F$5:$F$204))/STDEV($F$5:$F$204),0)</f>
        <v/>
      </c>
      <c r="P170" s="6">
        <f>IF(OR(B170&lt;QUARTILE($B$5:$B$204,1)-1.5*(QUARTILE($B$5:$B$204,3)-QUARTILE($B$5:$B$204,1)),B170&gt;QUARTILE($B$5:$B$204,3)+1.5*(QUARTILE($B$5:$B$204,3)-QUARTILE($B$5:$B$204,1))),"Review","Within range")</f>
        <v/>
      </c>
      <c r="Q170" s="6">
        <f>IF(OR(C170&lt;QUARTILE($C$5:$C$204,1)-1.5*(QUARTILE($C$5:$C$204,3)-QUARTILE($C$5:$C$204,1)),C170&gt;QUARTILE($C$5:$C$204,3)+1.5*(QUARTILE($C$5:$C$204,3)-QUARTILE($C$5:$C$204,1))),"Review","Within range")</f>
        <v/>
      </c>
      <c r="R170" s="6">
        <f>IF(OR(D170&lt;QUARTILE($D$5:$D$204,1)-1.5*(QUARTILE($D$5:$D$204,3)-QUARTILE($D$5:$D$204,1)),D170&gt;QUARTILE($D$5:$D$204,3)+1.5*(QUARTILE($D$5:$D$204,3)-QUARTILE($D$5:$D$204,1))),"Review","Within range")</f>
        <v/>
      </c>
      <c r="S170" s="6">
        <f>IF(OR(E170&lt;QUARTILE($E$5:$E$204,1)-1.5*(QUARTILE($E$5:$E$204,3)-QUARTILE($E$5:$E$204,1)),E170&gt;QUARTILE($E$5:$E$204,3)+1.5*(QUARTILE($E$5:$E$204,3)-QUARTILE($E$5:$E$204,1))),"Review","Within range")</f>
        <v/>
      </c>
      <c r="T170" s="6">
        <f>IF(COUNTBLANK(A170:E170)&gt;0,"Missing value",IF(COUNTIF(B170:E170,"&lt;0")&gt;0,"Negative value",IF(COUNTIF($A$5:$A$204,A170)&gt;1,"Duplicate market ID",IF(OR(P170="Review",Q170="Review",R170="Review",S170="Review"),"Review outlier","OK"))))</f>
        <v/>
      </c>
    </row>
    <row r="171">
      <c r="A171" s="6">
        <f>Raw_Data!A171</f>
        <v/>
      </c>
      <c r="B171" s="7">
        <f>Raw_Data!B171</f>
        <v/>
      </c>
      <c r="C171" s="7">
        <f>Raw_Data!C171</f>
        <v/>
      </c>
      <c r="D171" s="7">
        <f>Raw_Data!D171</f>
        <v/>
      </c>
      <c r="E171" s="7">
        <f>Raw_Data!E171</f>
        <v/>
      </c>
      <c r="F171" s="7">
        <f>SUM(B171:D171)</f>
        <v/>
      </c>
      <c r="G171" s="8">
        <f>IFERROR(B171/F171,0)</f>
        <v/>
      </c>
      <c r="H171" s="8">
        <f>IFERROR(C171/F171,0)</f>
        <v/>
      </c>
      <c r="I171" s="8">
        <f>IFERROR(D171/F171,0)</f>
        <v/>
      </c>
      <c r="J171" s="9">
        <f>IFERROR(E171/F171,0)</f>
        <v/>
      </c>
      <c r="K171" s="9">
        <f>IFERROR((B171-AVERAGE($B$5:$B$204))/STDEV($B$5:$B$204),0)</f>
        <v/>
      </c>
      <c r="L171" s="9">
        <f>IFERROR((C171-AVERAGE($C$5:$C$204))/STDEV($C$5:$C$204),0)</f>
        <v/>
      </c>
      <c r="M171" s="9">
        <f>IFERROR((D171-AVERAGE($D$5:$D$204))/STDEV($D$5:$D$204),0)</f>
        <v/>
      </c>
      <c r="N171" s="9">
        <f>IFERROR((E171-AVERAGE($E$5:$E$204))/STDEV($E$5:$E$204),0)</f>
        <v/>
      </c>
      <c r="O171" s="9">
        <f>IFERROR((F171-AVERAGE($F$5:$F$204))/STDEV($F$5:$F$204),0)</f>
        <v/>
      </c>
      <c r="P171" s="6">
        <f>IF(OR(B171&lt;QUARTILE($B$5:$B$204,1)-1.5*(QUARTILE($B$5:$B$204,3)-QUARTILE($B$5:$B$204,1)),B171&gt;QUARTILE($B$5:$B$204,3)+1.5*(QUARTILE($B$5:$B$204,3)-QUARTILE($B$5:$B$204,1))),"Review","Within range")</f>
        <v/>
      </c>
      <c r="Q171" s="6">
        <f>IF(OR(C171&lt;QUARTILE($C$5:$C$204,1)-1.5*(QUARTILE($C$5:$C$204,3)-QUARTILE($C$5:$C$204,1)),C171&gt;QUARTILE($C$5:$C$204,3)+1.5*(QUARTILE($C$5:$C$204,3)-QUARTILE($C$5:$C$204,1))),"Review","Within range")</f>
        <v/>
      </c>
      <c r="R171" s="6">
        <f>IF(OR(D171&lt;QUARTILE($D$5:$D$204,1)-1.5*(QUARTILE($D$5:$D$204,3)-QUARTILE($D$5:$D$204,1)),D171&gt;QUARTILE($D$5:$D$204,3)+1.5*(QUARTILE($D$5:$D$204,3)-QUARTILE($D$5:$D$204,1))),"Review","Within range")</f>
        <v/>
      </c>
      <c r="S171" s="6">
        <f>IF(OR(E171&lt;QUARTILE($E$5:$E$204,1)-1.5*(QUARTILE($E$5:$E$204,3)-QUARTILE($E$5:$E$204,1)),E171&gt;QUARTILE($E$5:$E$204,3)+1.5*(QUARTILE($E$5:$E$204,3)-QUARTILE($E$5:$E$204,1))),"Review","Within range")</f>
        <v/>
      </c>
      <c r="T171" s="6">
        <f>IF(COUNTBLANK(A171:E171)&gt;0,"Missing value",IF(COUNTIF(B171:E171,"&lt;0")&gt;0,"Negative value",IF(COUNTIF($A$5:$A$204,A171)&gt;1,"Duplicate market ID",IF(OR(P171="Review",Q171="Review",R171="Review",S171="Review"),"Review outlier","OK"))))</f>
        <v/>
      </c>
    </row>
    <row r="172">
      <c r="A172" s="6">
        <f>Raw_Data!A172</f>
        <v/>
      </c>
      <c r="B172" s="7">
        <f>Raw_Data!B172</f>
        <v/>
      </c>
      <c r="C172" s="7">
        <f>Raw_Data!C172</f>
        <v/>
      </c>
      <c r="D172" s="7">
        <f>Raw_Data!D172</f>
        <v/>
      </c>
      <c r="E172" s="7">
        <f>Raw_Data!E172</f>
        <v/>
      </c>
      <c r="F172" s="7">
        <f>SUM(B172:D172)</f>
        <v/>
      </c>
      <c r="G172" s="8">
        <f>IFERROR(B172/F172,0)</f>
        <v/>
      </c>
      <c r="H172" s="8">
        <f>IFERROR(C172/F172,0)</f>
        <v/>
      </c>
      <c r="I172" s="8">
        <f>IFERROR(D172/F172,0)</f>
        <v/>
      </c>
      <c r="J172" s="9">
        <f>IFERROR(E172/F172,0)</f>
        <v/>
      </c>
      <c r="K172" s="9">
        <f>IFERROR((B172-AVERAGE($B$5:$B$204))/STDEV($B$5:$B$204),0)</f>
        <v/>
      </c>
      <c r="L172" s="9">
        <f>IFERROR((C172-AVERAGE($C$5:$C$204))/STDEV($C$5:$C$204),0)</f>
        <v/>
      </c>
      <c r="M172" s="9">
        <f>IFERROR((D172-AVERAGE($D$5:$D$204))/STDEV($D$5:$D$204),0)</f>
        <v/>
      </c>
      <c r="N172" s="9">
        <f>IFERROR((E172-AVERAGE($E$5:$E$204))/STDEV($E$5:$E$204),0)</f>
        <v/>
      </c>
      <c r="O172" s="9">
        <f>IFERROR((F172-AVERAGE($F$5:$F$204))/STDEV($F$5:$F$204),0)</f>
        <v/>
      </c>
      <c r="P172" s="6">
        <f>IF(OR(B172&lt;QUARTILE($B$5:$B$204,1)-1.5*(QUARTILE($B$5:$B$204,3)-QUARTILE($B$5:$B$204,1)),B172&gt;QUARTILE($B$5:$B$204,3)+1.5*(QUARTILE($B$5:$B$204,3)-QUARTILE($B$5:$B$204,1))),"Review","Within range")</f>
        <v/>
      </c>
      <c r="Q172" s="6">
        <f>IF(OR(C172&lt;QUARTILE($C$5:$C$204,1)-1.5*(QUARTILE($C$5:$C$204,3)-QUARTILE($C$5:$C$204,1)),C172&gt;QUARTILE($C$5:$C$204,3)+1.5*(QUARTILE($C$5:$C$204,3)-QUARTILE($C$5:$C$204,1))),"Review","Within range")</f>
        <v/>
      </c>
      <c r="R172" s="6">
        <f>IF(OR(D172&lt;QUARTILE($D$5:$D$204,1)-1.5*(QUARTILE($D$5:$D$204,3)-QUARTILE($D$5:$D$204,1)),D172&gt;QUARTILE($D$5:$D$204,3)+1.5*(QUARTILE($D$5:$D$204,3)-QUARTILE($D$5:$D$204,1))),"Review","Within range")</f>
        <v/>
      </c>
      <c r="S172" s="6">
        <f>IF(OR(E172&lt;QUARTILE($E$5:$E$204,1)-1.5*(QUARTILE($E$5:$E$204,3)-QUARTILE($E$5:$E$204,1)),E172&gt;QUARTILE($E$5:$E$204,3)+1.5*(QUARTILE($E$5:$E$204,3)-QUARTILE($E$5:$E$204,1))),"Review","Within range")</f>
        <v/>
      </c>
      <c r="T172" s="6">
        <f>IF(COUNTBLANK(A172:E172)&gt;0,"Missing value",IF(COUNTIF(B172:E172,"&lt;0")&gt;0,"Negative value",IF(COUNTIF($A$5:$A$204,A172)&gt;1,"Duplicate market ID",IF(OR(P172="Review",Q172="Review",R172="Review",S172="Review"),"Review outlier","OK"))))</f>
        <v/>
      </c>
    </row>
    <row r="173">
      <c r="A173" s="6">
        <f>Raw_Data!A173</f>
        <v/>
      </c>
      <c r="B173" s="7">
        <f>Raw_Data!B173</f>
        <v/>
      </c>
      <c r="C173" s="7">
        <f>Raw_Data!C173</f>
        <v/>
      </c>
      <c r="D173" s="7">
        <f>Raw_Data!D173</f>
        <v/>
      </c>
      <c r="E173" s="7">
        <f>Raw_Data!E173</f>
        <v/>
      </c>
      <c r="F173" s="7">
        <f>SUM(B173:D173)</f>
        <v/>
      </c>
      <c r="G173" s="8">
        <f>IFERROR(B173/F173,0)</f>
        <v/>
      </c>
      <c r="H173" s="8">
        <f>IFERROR(C173/F173,0)</f>
        <v/>
      </c>
      <c r="I173" s="8">
        <f>IFERROR(D173/F173,0)</f>
        <v/>
      </c>
      <c r="J173" s="9">
        <f>IFERROR(E173/F173,0)</f>
        <v/>
      </c>
      <c r="K173" s="9">
        <f>IFERROR((B173-AVERAGE($B$5:$B$204))/STDEV($B$5:$B$204),0)</f>
        <v/>
      </c>
      <c r="L173" s="9">
        <f>IFERROR((C173-AVERAGE($C$5:$C$204))/STDEV($C$5:$C$204),0)</f>
        <v/>
      </c>
      <c r="M173" s="9">
        <f>IFERROR((D173-AVERAGE($D$5:$D$204))/STDEV($D$5:$D$204),0)</f>
        <v/>
      </c>
      <c r="N173" s="9">
        <f>IFERROR((E173-AVERAGE($E$5:$E$204))/STDEV($E$5:$E$204),0)</f>
        <v/>
      </c>
      <c r="O173" s="9">
        <f>IFERROR((F173-AVERAGE($F$5:$F$204))/STDEV($F$5:$F$204),0)</f>
        <v/>
      </c>
      <c r="P173" s="6">
        <f>IF(OR(B173&lt;QUARTILE($B$5:$B$204,1)-1.5*(QUARTILE($B$5:$B$204,3)-QUARTILE($B$5:$B$204,1)),B173&gt;QUARTILE($B$5:$B$204,3)+1.5*(QUARTILE($B$5:$B$204,3)-QUARTILE($B$5:$B$204,1))),"Review","Within range")</f>
        <v/>
      </c>
      <c r="Q173" s="6">
        <f>IF(OR(C173&lt;QUARTILE($C$5:$C$204,1)-1.5*(QUARTILE($C$5:$C$204,3)-QUARTILE($C$5:$C$204,1)),C173&gt;QUARTILE($C$5:$C$204,3)+1.5*(QUARTILE($C$5:$C$204,3)-QUARTILE($C$5:$C$204,1))),"Review","Within range")</f>
        <v/>
      </c>
      <c r="R173" s="6">
        <f>IF(OR(D173&lt;QUARTILE($D$5:$D$204,1)-1.5*(QUARTILE($D$5:$D$204,3)-QUARTILE($D$5:$D$204,1)),D173&gt;QUARTILE($D$5:$D$204,3)+1.5*(QUARTILE($D$5:$D$204,3)-QUARTILE($D$5:$D$204,1))),"Review","Within range")</f>
        <v/>
      </c>
      <c r="S173" s="6">
        <f>IF(OR(E173&lt;QUARTILE($E$5:$E$204,1)-1.5*(QUARTILE($E$5:$E$204,3)-QUARTILE($E$5:$E$204,1)),E173&gt;QUARTILE($E$5:$E$204,3)+1.5*(QUARTILE($E$5:$E$204,3)-QUARTILE($E$5:$E$204,1))),"Review","Within range")</f>
        <v/>
      </c>
      <c r="T173" s="6">
        <f>IF(COUNTBLANK(A173:E173)&gt;0,"Missing value",IF(COUNTIF(B173:E173,"&lt;0")&gt;0,"Negative value",IF(COUNTIF($A$5:$A$204,A173)&gt;1,"Duplicate market ID",IF(OR(P173="Review",Q173="Review",R173="Review",S173="Review"),"Review outlier","OK"))))</f>
        <v/>
      </c>
    </row>
    <row r="174">
      <c r="A174" s="6">
        <f>Raw_Data!A174</f>
        <v/>
      </c>
      <c r="B174" s="7">
        <f>Raw_Data!B174</f>
        <v/>
      </c>
      <c r="C174" s="7">
        <f>Raw_Data!C174</f>
        <v/>
      </c>
      <c r="D174" s="7">
        <f>Raw_Data!D174</f>
        <v/>
      </c>
      <c r="E174" s="7">
        <f>Raw_Data!E174</f>
        <v/>
      </c>
      <c r="F174" s="7">
        <f>SUM(B174:D174)</f>
        <v/>
      </c>
      <c r="G174" s="8">
        <f>IFERROR(B174/F174,0)</f>
        <v/>
      </c>
      <c r="H174" s="8">
        <f>IFERROR(C174/F174,0)</f>
        <v/>
      </c>
      <c r="I174" s="8">
        <f>IFERROR(D174/F174,0)</f>
        <v/>
      </c>
      <c r="J174" s="9">
        <f>IFERROR(E174/F174,0)</f>
        <v/>
      </c>
      <c r="K174" s="9">
        <f>IFERROR((B174-AVERAGE($B$5:$B$204))/STDEV($B$5:$B$204),0)</f>
        <v/>
      </c>
      <c r="L174" s="9">
        <f>IFERROR((C174-AVERAGE($C$5:$C$204))/STDEV($C$5:$C$204),0)</f>
        <v/>
      </c>
      <c r="M174" s="9">
        <f>IFERROR((D174-AVERAGE($D$5:$D$204))/STDEV($D$5:$D$204),0)</f>
        <v/>
      </c>
      <c r="N174" s="9">
        <f>IFERROR((E174-AVERAGE($E$5:$E$204))/STDEV($E$5:$E$204),0)</f>
        <v/>
      </c>
      <c r="O174" s="9">
        <f>IFERROR((F174-AVERAGE($F$5:$F$204))/STDEV($F$5:$F$204),0)</f>
        <v/>
      </c>
      <c r="P174" s="6">
        <f>IF(OR(B174&lt;QUARTILE($B$5:$B$204,1)-1.5*(QUARTILE($B$5:$B$204,3)-QUARTILE($B$5:$B$204,1)),B174&gt;QUARTILE($B$5:$B$204,3)+1.5*(QUARTILE($B$5:$B$204,3)-QUARTILE($B$5:$B$204,1))),"Review","Within range")</f>
        <v/>
      </c>
      <c r="Q174" s="6">
        <f>IF(OR(C174&lt;QUARTILE($C$5:$C$204,1)-1.5*(QUARTILE($C$5:$C$204,3)-QUARTILE($C$5:$C$204,1)),C174&gt;QUARTILE($C$5:$C$204,3)+1.5*(QUARTILE($C$5:$C$204,3)-QUARTILE($C$5:$C$204,1))),"Review","Within range")</f>
        <v/>
      </c>
      <c r="R174" s="6">
        <f>IF(OR(D174&lt;QUARTILE($D$5:$D$204,1)-1.5*(QUARTILE($D$5:$D$204,3)-QUARTILE($D$5:$D$204,1)),D174&gt;QUARTILE($D$5:$D$204,3)+1.5*(QUARTILE($D$5:$D$204,3)-QUARTILE($D$5:$D$204,1))),"Review","Within range")</f>
        <v/>
      </c>
      <c r="S174" s="6">
        <f>IF(OR(E174&lt;QUARTILE($E$5:$E$204,1)-1.5*(QUARTILE($E$5:$E$204,3)-QUARTILE($E$5:$E$204,1)),E174&gt;QUARTILE($E$5:$E$204,3)+1.5*(QUARTILE($E$5:$E$204,3)-QUARTILE($E$5:$E$204,1))),"Review","Within range")</f>
        <v/>
      </c>
      <c r="T174" s="6">
        <f>IF(COUNTBLANK(A174:E174)&gt;0,"Missing value",IF(COUNTIF(B174:E174,"&lt;0")&gt;0,"Negative value",IF(COUNTIF($A$5:$A$204,A174)&gt;1,"Duplicate market ID",IF(OR(P174="Review",Q174="Review",R174="Review",S174="Review"),"Review outlier","OK"))))</f>
        <v/>
      </c>
    </row>
    <row r="175">
      <c r="A175" s="6">
        <f>Raw_Data!A175</f>
        <v/>
      </c>
      <c r="B175" s="7">
        <f>Raw_Data!B175</f>
        <v/>
      </c>
      <c r="C175" s="7">
        <f>Raw_Data!C175</f>
        <v/>
      </c>
      <c r="D175" s="7">
        <f>Raw_Data!D175</f>
        <v/>
      </c>
      <c r="E175" s="7">
        <f>Raw_Data!E175</f>
        <v/>
      </c>
      <c r="F175" s="7">
        <f>SUM(B175:D175)</f>
        <v/>
      </c>
      <c r="G175" s="8">
        <f>IFERROR(B175/F175,0)</f>
        <v/>
      </c>
      <c r="H175" s="8">
        <f>IFERROR(C175/F175,0)</f>
        <v/>
      </c>
      <c r="I175" s="8">
        <f>IFERROR(D175/F175,0)</f>
        <v/>
      </c>
      <c r="J175" s="9">
        <f>IFERROR(E175/F175,0)</f>
        <v/>
      </c>
      <c r="K175" s="9">
        <f>IFERROR((B175-AVERAGE($B$5:$B$204))/STDEV($B$5:$B$204),0)</f>
        <v/>
      </c>
      <c r="L175" s="9">
        <f>IFERROR((C175-AVERAGE($C$5:$C$204))/STDEV($C$5:$C$204),0)</f>
        <v/>
      </c>
      <c r="M175" s="9">
        <f>IFERROR((D175-AVERAGE($D$5:$D$204))/STDEV($D$5:$D$204),0)</f>
        <v/>
      </c>
      <c r="N175" s="9">
        <f>IFERROR((E175-AVERAGE($E$5:$E$204))/STDEV($E$5:$E$204),0)</f>
        <v/>
      </c>
      <c r="O175" s="9">
        <f>IFERROR((F175-AVERAGE($F$5:$F$204))/STDEV($F$5:$F$204),0)</f>
        <v/>
      </c>
      <c r="P175" s="6">
        <f>IF(OR(B175&lt;QUARTILE($B$5:$B$204,1)-1.5*(QUARTILE($B$5:$B$204,3)-QUARTILE($B$5:$B$204,1)),B175&gt;QUARTILE($B$5:$B$204,3)+1.5*(QUARTILE($B$5:$B$204,3)-QUARTILE($B$5:$B$204,1))),"Review","Within range")</f>
        <v/>
      </c>
      <c r="Q175" s="6">
        <f>IF(OR(C175&lt;QUARTILE($C$5:$C$204,1)-1.5*(QUARTILE($C$5:$C$204,3)-QUARTILE($C$5:$C$204,1)),C175&gt;QUARTILE($C$5:$C$204,3)+1.5*(QUARTILE($C$5:$C$204,3)-QUARTILE($C$5:$C$204,1))),"Review","Within range")</f>
        <v/>
      </c>
      <c r="R175" s="6">
        <f>IF(OR(D175&lt;QUARTILE($D$5:$D$204,1)-1.5*(QUARTILE($D$5:$D$204,3)-QUARTILE($D$5:$D$204,1)),D175&gt;QUARTILE($D$5:$D$204,3)+1.5*(QUARTILE($D$5:$D$204,3)-QUARTILE($D$5:$D$204,1))),"Review","Within range")</f>
        <v/>
      </c>
      <c r="S175" s="6">
        <f>IF(OR(E175&lt;QUARTILE($E$5:$E$204,1)-1.5*(QUARTILE($E$5:$E$204,3)-QUARTILE($E$5:$E$204,1)),E175&gt;QUARTILE($E$5:$E$204,3)+1.5*(QUARTILE($E$5:$E$204,3)-QUARTILE($E$5:$E$204,1))),"Review","Within range")</f>
        <v/>
      </c>
      <c r="T175" s="6">
        <f>IF(COUNTBLANK(A175:E175)&gt;0,"Missing value",IF(COUNTIF(B175:E175,"&lt;0")&gt;0,"Negative value",IF(COUNTIF($A$5:$A$204,A175)&gt;1,"Duplicate market ID",IF(OR(P175="Review",Q175="Review",R175="Review",S175="Review"),"Review outlier","OK"))))</f>
        <v/>
      </c>
    </row>
    <row r="176">
      <c r="A176" s="6">
        <f>Raw_Data!A176</f>
        <v/>
      </c>
      <c r="B176" s="7">
        <f>Raw_Data!B176</f>
        <v/>
      </c>
      <c r="C176" s="7">
        <f>Raw_Data!C176</f>
        <v/>
      </c>
      <c r="D176" s="7">
        <f>Raw_Data!D176</f>
        <v/>
      </c>
      <c r="E176" s="7">
        <f>Raw_Data!E176</f>
        <v/>
      </c>
      <c r="F176" s="7">
        <f>SUM(B176:D176)</f>
        <v/>
      </c>
      <c r="G176" s="8">
        <f>IFERROR(B176/F176,0)</f>
        <v/>
      </c>
      <c r="H176" s="8">
        <f>IFERROR(C176/F176,0)</f>
        <v/>
      </c>
      <c r="I176" s="8">
        <f>IFERROR(D176/F176,0)</f>
        <v/>
      </c>
      <c r="J176" s="9">
        <f>IFERROR(E176/F176,0)</f>
        <v/>
      </c>
      <c r="K176" s="9">
        <f>IFERROR((B176-AVERAGE($B$5:$B$204))/STDEV($B$5:$B$204),0)</f>
        <v/>
      </c>
      <c r="L176" s="9">
        <f>IFERROR((C176-AVERAGE($C$5:$C$204))/STDEV($C$5:$C$204),0)</f>
        <v/>
      </c>
      <c r="M176" s="9">
        <f>IFERROR((D176-AVERAGE($D$5:$D$204))/STDEV($D$5:$D$204),0)</f>
        <v/>
      </c>
      <c r="N176" s="9">
        <f>IFERROR((E176-AVERAGE($E$5:$E$204))/STDEV($E$5:$E$204),0)</f>
        <v/>
      </c>
      <c r="O176" s="9">
        <f>IFERROR((F176-AVERAGE($F$5:$F$204))/STDEV($F$5:$F$204),0)</f>
        <v/>
      </c>
      <c r="P176" s="6">
        <f>IF(OR(B176&lt;QUARTILE($B$5:$B$204,1)-1.5*(QUARTILE($B$5:$B$204,3)-QUARTILE($B$5:$B$204,1)),B176&gt;QUARTILE($B$5:$B$204,3)+1.5*(QUARTILE($B$5:$B$204,3)-QUARTILE($B$5:$B$204,1))),"Review","Within range")</f>
        <v/>
      </c>
      <c r="Q176" s="6">
        <f>IF(OR(C176&lt;QUARTILE($C$5:$C$204,1)-1.5*(QUARTILE($C$5:$C$204,3)-QUARTILE($C$5:$C$204,1)),C176&gt;QUARTILE($C$5:$C$204,3)+1.5*(QUARTILE($C$5:$C$204,3)-QUARTILE($C$5:$C$204,1))),"Review","Within range")</f>
        <v/>
      </c>
      <c r="R176" s="6">
        <f>IF(OR(D176&lt;QUARTILE($D$5:$D$204,1)-1.5*(QUARTILE($D$5:$D$204,3)-QUARTILE($D$5:$D$204,1)),D176&gt;QUARTILE($D$5:$D$204,3)+1.5*(QUARTILE($D$5:$D$204,3)-QUARTILE($D$5:$D$204,1))),"Review","Within range")</f>
        <v/>
      </c>
      <c r="S176" s="6">
        <f>IF(OR(E176&lt;QUARTILE($E$5:$E$204,1)-1.5*(QUARTILE($E$5:$E$204,3)-QUARTILE($E$5:$E$204,1)),E176&gt;QUARTILE($E$5:$E$204,3)+1.5*(QUARTILE($E$5:$E$204,3)-QUARTILE($E$5:$E$204,1))),"Review","Within range")</f>
        <v/>
      </c>
      <c r="T176" s="6">
        <f>IF(COUNTBLANK(A176:E176)&gt;0,"Missing value",IF(COUNTIF(B176:E176,"&lt;0")&gt;0,"Negative value",IF(COUNTIF($A$5:$A$204,A176)&gt;1,"Duplicate market ID",IF(OR(P176="Review",Q176="Review",R176="Review",S176="Review"),"Review outlier","OK"))))</f>
        <v/>
      </c>
    </row>
    <row r="177">
      <c r="A177" s="6">
        <f>Raw_Data!A177</f>
        <v/>
      </c>
      <c r="B177" s="7">
        <f>Raw_Data!B177</f>
        <v/>
      </c>
      <c r="C177" s="7">
        <f>Raw_Data!C177</f>
        <v/>
      </c>
      <c r="D177" s="7">
        <f>Raw_Data!D177</f>
        <v/>
      </c>
      <c r="E177" s="7">
        <f>Raw_Data!E177</f>
        <v/>
      </c>
      <c r="F177" s="7">
        <f>SUM(B177:D177)</f>
        <v/>
      </c>
      <c r="G177" s="8">
        <f>IFERROR(B177/F177,0)</f>
        <v/>
      </c>
      <c r="H177" s="8">
        <f>IFERROR(C177/F177,0)</f>
        <v/>
      </c>
      <c r="I177" s="8">
        <f>IFERROR(D177/F177,0)</f>
        <v/>
      </c>
      <c r="J177" s="9">
        <f>IFERROR(E177/F177,0)</f>
        <v/>
      </c>
      <c r="K177" s="9">
        <f>IFERROR((B177-AVERAGE($B$5:$B$204))/STDEV($B$5:$B$204),0)</f>
        <v/>
      </c>
      <c r="L177" s="9">
        <f>IFERROR((C177-AVERAGE($C$5:$C$204))/STDEV($C$5:$C$204),0)</f>
        <v/>
      </c>
      <c r="M177" s="9">
        <f>IFERROR((D177-AVERAGE($D$5:$D$204))/STDEV($D$5:$D$204),0)</f>
        <v/>
      </c>
      <c r="N177" s="9">
        <f>IFERROR((E177-AVERAGE($E$5:$E$204))/STDEV($E$5:$E$204),0)</f>
        <v/>
      </c>
      <c r="O177" s="9">
        <f>IFERROR((F177-AVERAGE($F$5:$F$204))/STDEV($F$5:$F$204),0)</f>
        <v/>
      </c>
      <c r="P177" s="6">
        <f>IF(OR(B177&lt;QUARTILE($B$5:$B$204,1)-1.5*(QUARTILE($B$5:$B$204,3)-QUARTILE($B$5:$B$204,1)),B177&gt;QUARTILE($B$5:$B$204,3)+1.5*(QUARTILE($B$5:$B$204,3)-QUARTILE($B$5:$B$204,1))),"Review","Within range")</f>
        <v/>
      </c>
      <c r="Q177" s="6">
        <f>IF(OR(C177&lt;QUARTILE($C$5:$C$204,1)-1.5*(QUARTILE($C$5:$C$204,3)-QUARTILE($C$5:$C$204,1)),C177&gt;QUARTILE($C$5:$C$204,3)+1.5*(QUARTILE($C$5:$C$204,3)-QUARTILE($C$5:$C$204,1))),"Review","Within range")</f>
        <v/>
      </c>
      <c r="R177" s="6">
        <f>IF(OR(D177&lt;QUARTILE($D$5:$D$204,1)-1.5*(QUARTILE($D$5:$D$204,3)-QUARTILE($D$5:$D$204,1)),D177&gt;QUARTILE($D$5:$D$204,3)+1.5*(QUARTILE($D$5:$D$204,3)-QUARTILE($D$5:$D$204,1))),"Review","Within range")</f>
        <v/>
      </c>
      <c r="S177" s="6">
        <f>IF(OR(E177&lt;QUARTILE($E$5:$E$204,1)-1.5*(QUARTILE($E$5:$E$204,3)-QUARTILE($E$5:$E$204,1)),E177&gt;QUARTILE($E$5:$E$204,3)+1.5*(QUARTILE($E$5:$E$204,3)-QUARTILE($E$5:$E$204,1))),"Review","Within range")</f>
        <v/>
      </c>
      <c r="T177" s="6">
        <f>IF(COUNTBLANK(A177:E177)&gt;0,"Missing value",IF(COUNTIF(B177:E177,"&lt;0")&gt;0,"Negative value",IF(COUNTIF($A$5:$A$204,A177)&gt;1,"Duplicate market ID",IF(OR(P177="Review",Q177="Review",R177="Review",S177="Review"),"Review outlier","OK"))))</f>
        <v/>
      </c>
    </row>
    <row r="178">
      <c r="A178" s="6">
        <f>Raw_Data!A178</f>
        <v/>
      </c>
      <c r="B178" s="7">
        <f>Raw_Data!B178</f>
        <v/>
      </c>
      <c r="C178" s="7">
        <f>Raw_Data!C178</f>
        <v/>
      </c>
      <c r="D178" s="7">
        <f>Raw_Data!D178</f>
        <v/>
      </c>
      <c r="E178" s="7">
        <f>Raw_Data!E178</f>
        <v/>
      </c>
      <c r="F178" s="7">
        <f>SUM(B178:D178)</f>
        <v/>
      </c>
      <c r="G178" s="8">
        <f>IFERROR(B178/F178,0)</f>
        <v/>
      </c>
      <c r="H178" s="8">
        <f>IFERROR(C178/F178,0)</f>
        <v/>
      </c>
      <c r="I178" s="8">
        <f>IFERROR(D178/F178,0)</f>
        <v/>
      </c>
      <c r="J178" s="9">
        <f>IFERROR(E178/F178,0)</f>
        <v/>
      </c>
      <c r="K178" s="9">
        <f>IFERROR((B178-AVERAGE($B$5:$B$204))/STDEV($B$5:$B$204),0)</f>
        <v/>
      </c>
      <c r="L178" s="9">
        <f>IFERROR((C178-AVERAGE($C$5:$C$204))/STDEV($C$5:$C$204),0)</f>
        <v/>
      </c>
      <c r="M178" s="9">
        <f>IFERROR((D178-AVERAGE($D$5:$D$204))/STDEV($D$5:$D$204),0)</f>
        <v/>
      </c>
      <c r="N178" s="9">
        <f>IFERROR((E178-AVERAGE($E$5:$E$204))/STDEV($E$5:$E$204),0)</f>
        <v/>
      </c>
      <c r="O178" s="9">
        <f>IFERROR((F178-AVERAGE($F$5:$F$204))/STDEV($F$5:$F$204),0)</f>
        <v/>
      </c>
      <c r="P178" s="6">
        <f>IF(OR(B178&lt;QUARTILE($B$5:$B$204,1)-1.5*(QUARTILE($B$5:$B$204,3)-QUARTILE($B$5:$B$204,1)),B178&gt;QUARTILE($B$5:$B$204,3)+1.5*(QUARTILE($B$5:$B$204,3)-QUARTILE($B$5:$B$204,1))),"Review","Within range")</f>
        <v/>
      </c>
      <c r="Q178" s="6">
        <f>IF(OR(C178&lt;QUARTILE($C$5:$C$204,1)-1.5*(QUARTILE($C$5:$C$204,3)-QUARTILE($C$5:$C$204,1)),C178&gt;QUARTILE($C$5:$C$204,3)+1.5*(QUARTILE($C$5:$C$204,3)-QUARTILE($C$5:$C$204,1))),"Review","Within range")</f>
        <v/>
      </c>
      <c r="R178" s="6">
        <f>IF(OR(D178&lt;QUARTILE($D$5:$D$204,1)-1.5*(QUARTILE($D$5:$D$204,3)-QUARTILE($D$5:$D$204,1)),D178&gt;QUARTILE($D$5:$D$204,3)+1.5*(QUARTILE($D$5:$D$204,3)-QUARTILE($D$5:$D$204,1))),"Review","Within range")</f>
        <v/>
      </c>
      <c r="S178" s="6">
        <f>IF(OR(E178&lt;QUARTILE($E$5:$E$204,1)-1.5*(QUARTILE($E$5:$E$204,3)-QUARTILE($E$5:$E$204,1)),E178&gt;QUARTILE($E$5:$E$204,3)+1.5*(QUARTILE($E$5:$E$204,3)-QUARTILE($E$5:$E$204,1))),"Review","Within range")</f>
        <v/>
      </c>
      <c r="T178" s="6">
        <f>IF(COUNTBLANK(A178:E178)&gt;0,"Missing value",IF(COUNTIF(B178:E178,"&lt;0")&gt;0,"Negative value",IF(COUNTIF($A$5:$A$204,A178)&gt;1,"Duplicate market ID",IF(OR(P178="Review",Q178="Review",R178="Review",S178="Review"),"Review outlier","OK"))))</f>
        <v/>
      </c>
    </row>
    <row r="179">
      <c r="A179" s="6">
        <f>Raw_Data!A179</f>
        <v/>
      </c>
      <c r="B179" s="7">
        <f>Raw_Data!B179</f>
        <v/>
      </c>
      <c r="C179" s="7">
        <f>Raw_Data!C179</f>
        <v/>
      </c>
      <c r="D179" s="7">
        <f>Raw_Data!D179</f>
        <v/>
      </c>
      <c r="E179" s="7">
        <f>Raw_Data!E179</f>
        <v/>
      </c>
      <c r="F179" s="7">
        <f>SUM(B179:D179)</f>
        <v/>
      </c>
      <c r="G179" s="8">
        <f>IFERROR(B179/F179,0)</f>
        <v/>
      </c>
      <c r="H179" s="8">
        <f>IFERROR(C179/F179,0)</f>
        <v/>
      </c>
      <c r="I179" s="8">
        <f>IFERROR(D179/F179,0)</f>
        <v/>
      </c>
      <c r="J179" s="9">
        <f>IFERROR(E179/F179,0)</f>
        <v/>
      </c>
      <c r="K179" s="9">
        <f>IFERROR((B179-AVERAGE($B$5:$B$204))/STDEV($B$5:$B$204),0)</f>
        <v/>
      </c>
      <c r="L179" s="9">
        <f>IFERROR((C179-AVERAGE($C$5:$C$204))/STDEV($C$5:$C$204),0)</f>
        <v/>
      </c>
      <c r="M179" s="9">
        <f>IFERROR((D179-AVERAGE($D$5:$D$204))/STDEV($D$5:$D$204),0)</f>
        <v/>
      </c>
      <c r="N179" s="9">
        <f>IFERROR((E179-AVERAGE($E$5:$E$204))/STDEV($E$5:$E$204),0)</f>
        <v/>
      </c>
      <c r="O179" s="9">
        <f>IFERROR((F179-AVERAGE($F$5:$F$204))/STDEV($F$5:$F$204),0)</f>
        <v/>
      </c>
      <c r="P179" s="6">
        <f>IF(OR(B179&lt;QUARTILE($B$5:$B$204,1)-1.5*(QUARTILE($B$5:$B$204,3)-QUARTILE($B$5:$B$204,1)),B179&gt;QUARTILE($B$5:$B$204,3)+1.5*(QUARTILE($B$5:$B$204,3)-QUARTILE($B$5:$B$204,1))),"Review","Within range")</f>
        <v/>
      </c>
      <c r="Q179" s="6">
        <f>IF(OR(C179&lt;QUARTILE($C$5:$C$204,1)-1.5*(QUARTILE($C$5:$C$204,3)-QUARTILE($C$5:$C$204,1)),C179&gt;QUARTILE($C$5:$C$204,3)+1.5*(QUARTILE($C$5:$C$204,3)-QUARTILE($C$5:$C$204,1))),"Review","Within range")</f>
        <v/>
      </c>
      <c r="R179" s="6">
        <f>IF(OR(D179&lt;QUARTILE($D$5:$D$204,1)-1.5*(QUARTILE($D$5:$D$204,3)-QUARTILE($D$5:$D$204,1)),D179&gt;QUARTILE($D$5:$D$204,3)+1.5*(QUARTILE($D$5:$D$204,3)-QUARTILE($D$5:$D$204,1))),"Review","Within range")</f>
        <v/>
      </c>
      <c r="S179" s="6">
        <f>IF(OR(E179&lt;QUARTILE($E$5:$E$204,1)-1.5*(QUARTILE($E$5:$E$204,3)-QUARTILE($E$5:$E$204,1)),E179&gt;QUARTILE($E$5:$E$204,3)+1.5*(QUARTILE($E$5:$E$204,3)-QUARTILE($E$5:$E$204,1))),"Review","Within range")</f>
        <v/>
      </c>
      <c r="T179" s="6">
        <f>IF(COUNTBLANK(A179:E179)&gt;0,"Missing value",IF(COUNTIF(B179:E179,"&lt;0")&gt;0,"Negative value",IF(COUNTIF($A$5:$A$204,A179)&gt;1,"Duplicate market ID",IF(OR(P179="Review",Q179="Review",R179="Review",S179="Review"),"Review outlier","OK"))))</f>
        <v/>
      </c>
    </row>
    <row r="180">
      <c r="A180" s="6">
        <f>Raw_Data!A180</f>
        <v/>
      </c>
      <c r="B180" s="7">
        <f>Raw_Data!B180</f>
        <v/>
      </c>
      <c r="C180" s="7">
        <f>Raw_Data!C180</f>
        <v/>
      </c>
      <c r="D180" s="7">
        <f>Raw_Data!D180</f>
        <v/>
      </c>
      <c r="E180" s="7">
        <f>Raw_Data!E180</f>
        <v/>
      </c>
      <c r="F180" s="7">
        <f>SUM(B180:D180)</f>
        <v/>
      </c>
      <c r="G180" s="8">
        <f>IFERROR(B180/F180,0)</f>
        <v/>
      </c>
      <c r="H180" s="8">
        <f>IFERROR(C180/F180,0)</f>
        <v/>
      </c>
      <c r="I180" s="8">
        <f>IFERROR(D180/F180,0)</f>
        <v/>
      </c>
      <c r="J180" s="9">
        <f>IFERROR(E180/F180,0)</f>
        <v/>
      </c>
      <c r="K180" s="9">
        <f>IFERROR((B180-AVERAGE($B$5:$B$204))/STDEV($B$5:$B$204),0)</f>
        <v/>
      </c>
      <c r="L180" s="9">
        <f>IFERROR((C180-AVERAGE($C$5:$C$204))/STDEV($C$5:$C$204),0)</f>
        <v/>
      </c>
      <c r="M180" s="9">
        <f>IFERROR((D180-AVERAGE($D$5:$D$204))/STDEV($D$5:$D$204),0)</f>
        <v/>
      </c>
      <c r="N180" s="9">
        <f>IFERROR((E180-AVERAGE($E$5:$E$204))/STDEV($E$5:$E$204),0)</f>
        <v/>
      </c>
      <c r="O180" s="9">
        <f>IFERROR((F180-AVERAGE($F$5:$F$204))/STDEV($F$5:$F$204),0)</f>
        <v/>
      </c>
      <c r="P180" s="6">
        <f>IF(OR(B180&lt;QUARTILE($B$5:$B$204,1)-1.5*(QUARTILE($B$5:$B$204,3)-QUARTILE($B$5:$B$204,1)),B180&gt;QUARTILE($B$5:$B$204,3)+1.5*(QUARTILE($B$5:$B$204,3)-QUARTILE($B$5:$B$204,1))),"Review","Within range")</f>
        <v/>
      </c>
      <c r="Q180" s="6">
        <f>IF(OR(C180&lt;QUARTILE($C$5:$C$204,1)-1.5*(QUARTILE($C$5:$C$204,3)-QUARTILE($C$5:$C$204,1)),C180&gt;QUARTILE($C$5:$C$204,3)+1.5*(QUARTILE($C$5:$C$204,3)-QUARTILE($C$5:$C$204,1))),"Review","Within range")</f>
        <v/>
      </c>
      <c r="R180" s="6">
        <f>IF(OR(D180&lt;QUARTILE($D$5:$D$204,1)-1.5*(QUARTILE($D$5:$D$204,3)-QUARTILE($D$5:$D$204,1)),D180&gt;QUARTILE($D$5:$D$204,3)+1.5*(QUARTILE($D$5:$D$204,3)-QUARTILE($D$5:$D$204,1))),"Review","Within range")</f>
        <v/>
      </c>
      <c r="S180" s="6">
        <f>IF(OR(E180&lt;QUARTILE($E$5:$E$204,1)-1.5*(QUARTILE($E$5:$E$204,3)-QUARTILE($E$5:$E$204,1)),E180&gt;QUARTILE($E$5:$E$204,3)+1.5*(QUARTILE($E$5:$E$204,3)-QUARTILE($E$5:$E$204,1))),"Review","Within range")</f>
        <v/>
      </c>
      <c r="T180" s="6">
        <f>IF(COUNTBLANK(A180:E180)&gt;0,"Missing value",IF(COUNTIF(B180:E180,"&lt;0")&gt;0,"Negative value",IF(COUNTIF($A$5:$A$204,A180)&gt;1,"Duplicate market ID",IF(OR(P180="Review",Q180="Review",R180="Review",S180="Review"),"Review outlier","OK"))))</f>
        <v/>
      </c>
    </row>
    <row r="181">
      <c r="A181" s="6">
        <f>Raw_Data!A181</f>
        <v/>
      </c>
      <c r="B181" s="7">
        <f>Raw_Data!B181</f>
        <v/>
      </c>
      <c r="C181" s="7">
        <f>Raw_Data!C181</f>
        <v/>
      </c>
      <c r="D181" s="7">
        <f>Raw_Data!D181</f>
        <v/>
      </c>
      <c r="E181" s="7">
        <f>Raw_Data!E181</f>
        <v/>
      </c>
      <c r="F181" s="7">
        <f>SUM(B181:D181)</f>
        <v/>
      </c>
      <c r="G181" s="8">
        <f>IFERROR(B181/F181,0)</f>
        <v/>
      </c>
      <c r="H181" s="8">
        <f>IFERROR(C181/F181,0)</f>
        <v/>
      </c>
      <c r="I181" s="8">
        <f>IFERROR(D181/F181,0)</f>
        <v/>
      </c>
      <c r="J181" s="9">
        <f>IFERROR(E181/F181,0)</f>
        <v/>
      </c>
      <c r="K181" s="9">
        <f>IFERROR((B181-AVERAGE($B$5:$B$204))/STDEV($B$5:$B$204),0)</f>
        <v/>
      </c>
      <c r="L181" s="9">
        <f>IFERROR((C181-AVERAGE($C$5:$C$204))/STDEV($C$5:$C$204),0)</f>
        <v/>
      </c>
      <c r="M181" s="9">
        <f>IFERROR((D181-AVERAGE($D$5:$D$204))/STDEV($D$5:$D$204),0)</f>
        <v/>
      </c>
      <c r="N181" s="9">
        <f>IFERROR((E181-AVERAGE($E$5:$E$204))/STDEV($E$5:$E$204),0)</f>
        <v/>
      </c>
      <c r="O181" s="9">
        <f>IFERROR((F181-AVERAGE($F$5:$F$204))/STDEV($F$5:$F$204),0)</f>
        <v/>
      </c>
      <c r="P181" s="6">
        <f>IF(OR(B181&lt;QUARTILE($B$5:$B$204,1)-1.5*(QUARTILE($B$5:$B$204,3)-QUARTILE($B$5:$B$204,1)),B181&gt;QUARTILE($B$5:$B$204,3)+1.5*(QUARTILE($B$5:$B$204,3)-QUARTILE($B$5:$B$204,1))),"Review","Within range")</f>
        <v/>
      </c>
      <c r="Q181" s="6">
        <f>IF(OR(C181&lt;QUARTILE($C$5:$C$204,1)-1.5*(QUARTILE($C$5:$C$204,3)-QUARTILE($C$5:$C$204,1)),C181&gt;QUARTILE($C$5:$C$204,3)+1.5*(QUARTILE($C$5:$C$204,3)-QUARTILE($C$5:$C$204,1))),"Review","Within range")</f>
        <v/>
      </c>
      <c r="R181" s="6">
        <f>IF(OR(D181&lt;QUARTILE($D$5:$D$204,1)-1.5*(QUARTILE($D$5:$D$204,3)-QUARTILE($D$5:$D$204,1)),D181&gt;QUARTILE($D$5:$D$204,3)+1.5*(QUARTILE($D$5:$D$204,3)-QUARTILE($D$5:$D$204,1))),"Review","Within range")</f>
        <v/>
      </c>
      <c r="S181" s="6">
        <f>IF(OR(E181&lt;QUARTILE($E$5:$E$204,1)-1.5*(QUARTILE($E$5:$E$204,3)-QUARTILE($E$5:$E$204,1)),E181&gt;QUARTILE($E$5:$E$204,3)+1.5*(QUARTILE($E$5:$E$204,3)-QUARTILE($E$5:$E$204,1))),"Review","Within range")</f>
        <v/>
      </c>
      <c r="T181" s="6">
        <f>IF(COUNTBLANK(A181:E181)&gt;0,"Missing value",IF(COUNTIF(B181:E181,"&lt;0")&gt;0,"Negative value",IF(COUNTIF($A$5:$A$204,A181)&gt;1,"Duplicate market ID",IF(OR(P181="Review",Q181="Review",R181="Review",S181="Review"),"Review outlier","OK"))))</f>
        <v/>
      </c>
    </row>
    <row r="182">
      <c r="A182" s="6">
        <f>Raw_Data!A182</f>
        <v/>
      </c>
      <c r="B182" s="7">
        <f>Raw_Data!B182</f>
        <v/>
      </c>
      <c r="C182" s="7">
        <f>Raw_Data!C182</f>
        <v/>
      </c>
      <c r="D182" s="7">
        <f>Raw_Data!D182</f>
        <v/>
      </c>
      <c r="E182" s="7">
        <f>Raw_Data!E182</f>
        <v/>
      </c>
      <c r="F182" s="7">
        <f>SUM(B182:D182)</f>
        <v/>
      </c>
      <c r="G182" s="8">
        <f>IFERROR(B182/F182,0)</f>
        <v/>
      </c>
      <c r="H182" s="8">
        <f>IFERROR(C182/F182,0)</f>
        <v/>
      </c>
      <c r="I182" s="8">
        <f>IFERROR(D182/F182,0)</f>
        <v/>
      </c>
      <c r="J182" s="9">
        <f>IFERROR(E182/F182,0)</f>
        <v/>
      </c>
      <c r="K182" s="9">
        <f>IFERROR((B182-AVERAGE($B$5:$B$204))/STDEV($B$5:$B$204),0)</f>
        <v/>
      </c>
      <c r="L182" s="9">
        <f>IFERROR((C182-AVERAGE($C$5:$C$204))/STDEV($C$5:$C$204),0)</f>
        <v/>
      </c>
      <c r="M182" s="9">
        <f>IFERROR((D182-AVERAGE($D$5:$D$204))/STDEV($D$5:$D$204),0)</f>
        <v/>
      </c>
      <c r="N182" s="9">
        <f>IFERROR((E182-AVERAGE($E$5:$E$204))/STDEV($E$5:$E$204),0)</f>
        <v/>
      </c>
      <c r="O182" s="9">
        <f>IFERROR((F182-AVERAGE($F$5:$F$204))/STDEV($F$5:$F$204),0)</f>
        <v/>
      </c>
      <c r="P182" s="6">
        <f>IF(OR(B182&lt;QUARTILE($B$5:$B$204,1)-1.5*(QUARTILE($B$5:$B$204,3)-QUARTILE($B$5:$B$204,1)),B182&gt;QUARTILE($B$5:$B$204,3)+1.5*(QUARTILE($B$5:$B$204,3)-QUARTILE($B$5:$B$204,1))),"Review","Within range")</f>
        <v/>
      </c>
      <c r="Q182" s="6">
        <f>IF(OR(C182&lt;QUARTILE($C$5:$C$204,1)-1.5*(QUARTILE($C$5:$C$204,3)-QUARTILE($C$5:$C$204,1)),C182&gt;QUARTILE($C$5:$C$204,3)+1.5*(QUARTILE($C$5:$C$204,3)-QUARTILE($C$5:$C$204,1))),"Review","Within range")</f>
        <v/>
      </c>
      <c r="R182" s="6">
        <f>IF(OR(D182&lt;QUARTILE($D$5:$D$204,1)-1.5*(QUARTILE($D$5:$D$204,3)-QUARTILE($D$5:$D$204,1)),D182&gt;QUARTILE($D$5:$D$204,3)+1.5*(QUARTILE($D$5:$D$204,3)-QUARTILE($D$5:$D$204,1))),"Review","Within range")</f>
        <v/>
      </c>
      <c r="S182" s="6">
        <f>IF(OR(E182&lt;QUARTILE($E$5:$E$204,1)-1.5*(QUARTILE($E$5:$E$204,3)-QUARTILE($E$5:$E$204,1)),E182&gt;QUARTILE($E$5:$E$204,3)+1.5*(QUARTILE($E$5:$E$204,3)-QUARTILE($E$5:$E$204,1))),"Review","Within range")</f>
        <v/>
      </c>
      <c r="T182" s="6">
        <f>IF(COUNTBLANK(A182:E182)&gt;0,"Missing value",IF(COUNTIF(B182:E182,"&lt;0")&gt;0,"Negative value",IF(COUNTIF($A$5:$A$204,A182)&gt;1,"Duplicate market ID",IF(OR(P182="Review",Q182="Review",R182="Review",S182="Review"),"Review outlier","OK"))))</f>
        <v/>
      </c>
    </row>
    <row r="183">
      <c r="A183" s="6">
        <f>Raw_Data!A183</f>
        <v/>
      </c>
      <c r="B183" s="7">
        <f>Raw_Data!B183</f>
        <v/>
      </c>
      <c r="C183" s="7">
        <f>Raw_Data!C183</f>
        <v/>
      </c>
      <c r="D183" s="7">
        <f>Raw_Data!D183</f>
        <v/>
      </c>
      <c r="E183" s="7">
        <f>Raw_Data!E183</f>
        <v/>
      </c>
      <c r="F183" s="7">
        <f>SUM(B183:D183)</f>
        <v/>
      </c>
      <c r="G183" s="8">
        <f>IFERROR(B183/F183,0)</f>
        <v/>
      </c>
      <c r="H183" s="8">
        <f>IFERROR(C183/F183,0)</f>
        <v/>
      </c>
      <c r="I183" s="8">
        <f>IFERROR(D183/F183,0)</f>
        <v/>
      </c>
      <c r="J183" s="9">
        <f>IFERROR(E183/F183,0)</f>
        <v/>
      </c>
      <c r="K183" s="9">
        <f>IFERROR((B183-AVERAGE($B$5:$B$204))/STDEV($B$5:$B$204),0)</f>
        <v/>
      </c>
      <c r="L183" s="9">
        <f>IFERROR((C183-AVERAGE($C$5:$C$204))/STDEV($C$5:$C$204),0)</f>
        <v/>
      </c>
      <c r="M183" s="9">
        <f>IFERROR((D183-AVERAGE($D$5:$D$204))/STDEV($D$5:$D$204),0)</f>
        <v/>
      </c>
      <c r="N183" s="9">
        <f>IFERROR((E183-AVERAGE($E$5:$E$204))/STDEV($E$5:$E$204),0)</f>
        <v/>
      </c>
      <c r="O183" s="9">
        <f>IFERROR((F183-AVERAGE($F$5:$F$204))/STDEV($F$5:$F$204),0)</f>
        <v/>
      </c>
      <c r="P183" s="6">
        <f>IF(OR(B183&lt;QUARTILE($B$5:$B$204,1)-1.5*(QUARTILE($B$5:$B$204,3)-QUARTILE($B$5:$B$204,1)),B183&gt;QUARTILE($B$5:$B$204,3)+1.5*(QUARTILE($B$5:$B$204,3)-QUARTILE($B$5:$B$204,1))),"Review","Within range")</f>
        <v/>
      </c>
      <c r="Q183" s="6">
        <f>IF(OR(C183&lt;QUARTILE($C$5:$C$204,1)-1.5*(QUARTILE($C$5:$C$204,3)-QUARTILE($C$5:$C$204,1)),C183&gt;QUARTILE($C$5:$C$204,3)+1.5*(QUARTILE($C$5:$C$204,3)-QUARTILE($C$5:$C$204,1))),"Review","Within range")</f>
        <v/>
      </c>
      <c r="R183" s="6">
        <f>IF(OR(D183&lt;QUARTILE($D$5:$D$204,1)-1.5*(QUARTILE($D$5:$D$204,3)-QUARTILE($D$5:$D$204,1)),D183&gt;QUARTILE($D$5:$D$204,3)+1.5*(QUARTILE($D$5:$D$204,3)-QUARTILE($D$5:$D$204,1))),"Review","Within range")</f>
        <v/>
      </c>
      <c r="S183" s="6">
        <f>IF(OR(E183&lt;QUARTILE($E$5:$E$204,1)-1.5*(QUARTILE($E$5:$E$204,3)-QUARTILE($E$5:$E$204,1)),E183&gt;QUARTILE($E$5:$E$204,3)+1.5*(QUARTILE($E$5:$E$204,3)-QUARTILE($E$5:$E$204,1))),"Review","Within range")</f>
        <v/>
      </c>
      <c r="T183" s="6">
        <f>IF(COUNTBLANK(A183:E183)&gt;0,"Missing value",IF(COUNTIF(B183:E183,"&lt;0")&gt;0,"Negative value",IF(COUNTIF($A$5:$A$204,A183)&gt;1,"Duplicate market ID",IF(OR(P183="Review",Q183="Review",R183="Review",S183="Review"),"Review outlier","OK"))))</f>
        <v/>
      </c>
    </row>
    <row r="184">
      <c r="A184" s="6">
        <f>Raw_Data!A184</f>
        <v/>
      </c>
      <c r="B184" s="7">
        <f>Raw_Data!B184</f>
        <v/>
      </c>
      <c r="C184" s="7">
        <f>Raw_Data!C184</f>
        <v/>
      </c>
      <c r="D184" s="7">
        <f>Raw_Data!D184</f>
        <v/>
      </c>
      <c r="E184" s="7">
        <f>Raw_Data!E184</f>
        <v/>
      </c>
      <c r="F184" s="7">
        <f>SUM(B184:D184)</f>
        <v/>
      </c>
      <c r="G184" s="8">
        <f>IFERROR(B184/F184,0)</f>
        <v/>
      </c>
      <c r="H184" s="8">
        <f>IFERROR(C184/F184,0)</f>
        <v/>
      </c>
      <c r="I184" s="8">
        <f>IFERROR(D184/F184,0)</f>
        <v/>
      </c>
      <c r="J184" s="9">
        <f>IFERROR(E184/F184,0)</f>
        <v/>
      </c>
      <c r="K184" s="9">
        <f>IFERROR((B184-AVERAGE($B$5:$B$204))/STDEV($B$5:$B$204),0)</f>
        <v/>
      </c>
      <c r="L184" s="9">
        <f>IFERROR((C184-AVERAGE($C$5:$C$204))/STDEV($C$5:$C$204),0)</f>
        <v/>
      </c>
      <c r="M184" s="9">
        <f>IFERROR((D184-AVERAGE($D$5:$D$204))/STDEV($D$5:$D$204),0)</f>
        <v/>
      </c>
      <c r="N184" s="9">
        <f>IFERROR((E184-AVERAGE($E$5:$E$204))/STDEV($E$5:$E$204),0)</f>
        <v/>
      </c>
      <c r="O184" s="9">
        <f>IFERROR((F184-AVERAGE($F$5:$F$204))/STDEV($F$5:$F$204),0)</f>
        <v/>
      </c>
      <c r="P184" s="6">
        <f>IF(OR(B184&lt;QUARTILE($B$5:$B$204,1)-1.5*(QUARTILE($B$5:$B$204,3)-QUARTILE($B$5:$B$204,1)),B184&gt;QUARTILE($B$5:$B$204,3)+1.5*(QUARTILE($B$5:$B$204,3)-QUARTILE($B$5:$B$204,1))),"Review","Within range")</f>
        <v/>
      </c>
      <c r="Q184" s="6">
        <f>IF(OR(C184&lt;QUARTILE($C$5:$C$204,1)-1.5*(QUARTILE($C$5:$C$204,3)-QUARTILE($C$5:$C$204,1)),C184&gt;QUARTILE($C$5:$C$204,3)+1.5*(QUARTILE($C$5:$C$204,3)-QUARTILE($C$5:$C$204,1))),"Review","Within range")</f>
        <v/>
      </c>
      <c r="R184" s="6">
        <f>IF(OR(D184&lt;QUARTILE($D$5:$D$204,1)-1.5*(QUARTILE($D$5:$D$204,3)-QUARTILE($D$5:$D$204,1)),D184&gt;QUARTILE($D$5:$D$204,3)+1.5*(QUARTILE($D$5:$D$204,3)-QUARTILE($D$5:$D$204,1))),"Review","Within range")</f>
        <v/>
      </c>
      <c r="S184" s="6">
        <f>IF(OR(E184&lt;QUARTILE($E$5:$E$204,1)-1.5*(QUARTILE($E$5:$E$204,3)-QUARTILE($E$5:$E$204,1)),E184&gt;QUARTILE($E$5:$E$204,3)+1.5*(QUARTILE($E$5:$E$204,3)-QUARTILE($E$5:$E$204,1))),"Review","Within range")</f>
        <v/>
      </c>
      <c r="T184" s="6">
        <f>IF(COUNTBLANK(A184:E184)&gt;0,"Missing value",IF(COUNTIF(B184:E184,"&lt;0")&gt;0,"Negative value",IF(COUNTIF($A$5:$A$204,A184)&gt;1,"Duplicate market ID",IF(OR(P184="Review",Q184="Review",R184="Review",S184="Review"),"Review outlier","OK"))))</f>
        <v/>
      </c>
    </row>
    <row r="185">
      <c r="A185" s="6">
        <f>Raw_Data!A185</f>
        <v/>
      </c>
      <c r="B185" s="7">
        <f>Raw_Data!B185</f>
        <v/>
      </c>
      <c r="C185" s="7">
        <f>Raw_Data!C185</f>
        <v/>
      </c>
      <c r="D185" s="7">
        <f>Raw_Data!D185</f>
        <v/>
      </c>
      <c r="E185" s="7">
        <f>Raw_Data!E185</f>
        <v/>
      </c>
      <c r="F185" s="7">
        <f>SUM(B185:D185)</f>
        <v/>
      </c>
      <c r="G185" s="8">
        <f>IFERROR(B185/F185,0)</f>
        <v/>
      </c>
      <c r="H185" s="8">
        <f>IFERROR(C185/F185,0)</f>
        <v/>
      </c>
      <c r="I185" s="8">
        <f>IFERROR(D185/F185,0)</f>
        <v/>
      </c>
      <c r="J185" s="9">
        <f>IFERROR(E185/F185,0)</f>
        <v/>
      </c>
      <c r="K185" s="9">
        <f>IFERROR((B185-AVERAGE($B$5:$B$204))/STDEV($B$5:$B$204),0)</f>
        <v/>
      </c>
      <c r="L185" s="9">
        <f>IFERROR((C185-AVERAGE($C$5:$C$204))/STDEV($C$5:$C$204),0)</f>
        <v/>
      </c>
      <c r="M185" s="9">
        <f>IFERROR((D185-AVERAGE($D$5:$D$204))/STDEV($D$5:$D$204),0)</f>
        <v/>
      </c>
      <c r="N185" s="9">
        <f>IFERROR((E185-AVERAGE($E$5:$E$204))/STDEV($E$5:$E$204),0)</f>
        <v/>
      </c>
      <c r="O185" s="9">
        <f>IFERROR((F185-AVERAGE($F$5:$F$204))/STDEV($F$5:$F$204),0)</f>
        <v/>
      </c>
      <c r="P185" s="6">
        <f>IF(OR(B185&lt;QUARTILE($B$5:$B$204,1)-1.5*(QUARTILE($B$5:$B$204,3)-QUARTILE($B$5:$B$204,1)),B185&gt;QUARTILE($B$5:$B$204,3)+1.5*(QUARTILE($B$5:$B$204,3)-QUARTILE($B$5:$B$204,1))),"Review","Within range")</f>
        <v/>
      </c>
      <c r="Q185" s="6">
        <f>IF(OR(C185&lt;QUARTILE($C$5:$C$204,1)-1.5*(QUARTILE($C$5:$C$204,3)-QUARTILE($C$5:$C$204,1)),C185&gt;QUARTILE($C$5:$C$204,3)+1.5*(QUARTILE($C$5:$C$204,3)-QUARTILE($C$5:$C$204,1))),"Review","Within range")</f>
        <v/>
      </c>
      <c r="R185" s="6">
        <f>IF(OR(D185&lt;QUARTILE($D$5:$D$204,1)-1.5*(QUARTILE($D$5:$D$204,3)-QUARTILE($D$5:$D$204,1)),D185&gt;QUARTILE($D$5:$D$204,3)+1.5*(QUARTILE($D$5:$D$204,3)-QUARTILE($D$5:$D$204,1))),"Review","Within range")</f>
        <v/>
      </c>
      <c r="S185" s="6">
        <f>IF(OR(E185&lt;QUARTILE($E$5:$E$204,1)-1.5*(QUARTILE($E$5:$E$204,3)-QUARTILE($E$5:$E$204,1)),E185&gt;QUARTILE($E$5:$E$204,3)+1.5*(QUARTILE($E$5:$E$204,3)-QUARTILE($E$5:$E$204,1))),"Review","Within range")</f>
        <v/>
      </c>
      <c r="T185" s="6">
        <f>IF(COUNTBLANK(A185:E185)&gt;0,"Missing value",IF(COUNTIF(B185:E185,"&lt;0")&gt;0,"Negative value",IF(COUNTIF($A$5:$A$204,A185)&gt;1,"Duplicate market ID",IF(OR(P185="Review",Q185="Review",R185="Review",S185="Review"),"Review outlier","OK"))))</f>
        <v/>
      </c>
    </row>
    <row r="186">
      <c r="A186" s="6">
        <f>Raw_Data!A186</f>
        <v/>
      </c>
      <c r="B186" s="7">
        <f>Raw_Data!B186</f>
        <v/>
      </c>
      <c r="C186" s="7">
        <f>Raw_Data!C186</f>
        <v/>
      </c>
      <c r="D186" s="7">
        <f>Raw_Data!D186</f>
        <v/>
      </c>
      <c r="E186" s="7">
        <f>Raw_Data!E186</f>
        <v/>
      </c>
      <c r="F186" s="7">
        <f>SUM(B186:D186)</f>
        <v/>
      </c>
      <c r="G186" s="8">
        <f>IFERROR(B186/F186,0)</f>
        <v/>
      </c>
      <c r="H186" s="8">
        <f>IFERROR(C186/F186,0)</f>
        <v/>
      </c>
      <c r="I186" s="8">
        <f>IFERROR(D186/F186,0)</f>
        <v/>
      </c>
      <c r="J186" s="9">
        <f>IFERROR(E186/F186,0)</f>
        <v/>
      </c>
      <c r="K186" s="9">
        <f>IFERROR((B186-AVERAGE($B$5:$B$204))/STDEV($B$5:$B$204),0)</f>
        <v/>
      </c>
      <c r="L186" s="9">
        <f>IFERROR((C186-AVERAGE($C$5:$C$204))/STDEV($C$5:$C$204),0)</f>
        <v/>
      </c>
      <c r="M186" s="9">
        <f>IFERROR((D186-AVERAGE($D$5:$D$204))/STDEV($D$5:$D$204),0)</f>
        <v/>
      </c>
      <c r="N186" s="9">
        <f>IFERROR((E186-AVERAGE($E$5:$E$204))/STDEV($E$5:$E$204),0)</f>
        <v/>
      </c>
      <c r="O186" s="9">
        <f>IFERROR((F186-AVERAGE($F$5:$F$204))/STDEV($F$5:$F$204),0)</f>
        <v/>
      </c>
      <c r="P186" s="6">
        <f>IF(OR(B186&lt;QUARTILE($B$5:$B$204,1)-1.5*(QUARTILE($B$5:$B$204,3)-QUARTILE($B$5:$B$204,1)),B186&gt;QUARTILE($B$5:$B$204,3)+1.5*(QUARTILE($B$5:$B$204,3)-QUARTILE($B$5:$B$204,1))),"Review","Within range")</f>
        <v/>
      </c>
      <c r="Q186" s="6">
        <f>IF(OR(C186&lt;QUARTILE($C$5:$C$204,1)-1.5*(QUARTILE($C$5:$C$204,3)-QUARTILE($C$5:$C$204,1)),C186&gt;QUARTILE($C$5:$C$204,3)+1.5*(QUARTILE($C$5:$C$204,3)-QUARTILE($C$5:$C$204,1))),"Review","Within range")</f>
        <v/>
      </c>
      <c r="R186" s="6">
        <f>IF(OR(D186&lt;QUARTILE($D$5:$D$204,1)-1.5*(QUARTILE($D$5:$D$204,3)-QUARTILE($D$5:$D$204,1)),D186&gt;QUARTILE($D$5:$D$204,3)+1.5*(QUARTILE($D$5:$D$204,3)-QUARTILE($D$5:$D$204,1))),"Review","Within range")</f>
        <v/>
      </c>
      <c r="S186" s="6">
        <f>IF(OR(E186&lt;QUARTILE($E$5:$E$204,1)-1.5*(QUARTILE($E$5:$E$204,3)-QUARTILE($E$5:$E$204,1)),E186&gt;QUARTILE($E$5:$E$204,3)+1.5*(QUARTILE($E$5:$E$204,3)-QUARTILE($E$5:$E$204,1))),"Review","Within range")</f>
        <v/>
      </c>
      <c r="T186" s="6">
        <f>IF(COUNTBLANK(A186:E186)&gt;0,"Missing value",IF(COUNTIF(B186:E186,"&lt;0")&gt;0,"Negative value",IF(COUNTIF($A$5:$A$204,A186)&gt;1,"Duplicate market ID",IF(OR(P186="Review",Q186="Review",R186="Review",S186="Review"),"Review outlier","OK"))))</f>
        <v/>
      </c>
    </row>
    <row r="187">
      <c r="A187" s="6">
        <f>Raw_Data!A187</f>
        <v/>
      </c>
      <c r="B187" s="7">
        <f>Raw_Data!B187</f>
        <v/>
      </c>
      <c r="C187" s="7">
        <f>Raw_Data!C187</f>
        <v/>
      </c>
      <c r="D187" s="7">
        <f>Raw_Data!D187</f>
        <v/>
      </c>
      <c r="E187" s="7">
        <f>Raw_Data!E187</f>
        <v/>
      </c>
      <c r="F187" s="7">
        <f>SUM(B187:D187)</f>
        <v/>
      </c>
      <c r="G187" s="8">
        <f>IFERROR(B187/F187,0)</f>
        <v/>
      </c>
      <c r="H187" s="8">
        <f>IFERROR(C187/F187,0)</f>
        <v/>
      </c>
      <c r="I187" s="8">
        <f>IFERROR(D187/F187,0)</f>
        <v/>
      </c>
      <c r="J187" s="9">
        <f>IFERROR(E187/F187,0)</f>
        <v/>
      </c>
      <c r="K187" s="9">
        <f>IFERROR((B187-AVERAGE($B$5:$B$204))/STDEV($B$5:$B$204),0)</f>
        <v/>
      </c>
      <c r="L187" s="9">
        <f>IFERROR((C187-AVERAGE($C$5:$C$204))/STDEV($C$5:$C$204),0)</f>
        <v/>
      </c>
      <c r="M187" s="9">
        <f>IFERROR((D187-AVERAGE($D$5:$D$204))/STDEV($D$5:$D$204),0)</f>
        <v/>
      </c>
      <c r="N187" s="9">
        <f>IFERROR((E187-AVERAGE($E$5:$E$204))/STDEV($E$5:$E$204),0)</f>
        <v/>
      </c>
      <c r="O187" s="9">
        <f>IFERROR((F187-AVERAGE($F$5:$F$204))/STDEV($F$5:$F$204),0)</f>
        <v/>
      </c>
      <c r="P187" s="6">
        <f>IF(OR(B187&lt;QUARTILE($B$5:$B$204,1)-1.5*(QUARTILE($B$5:$B$204,3)-QUARTILE($B$5:$B$204,1)),B187&gt;QUARTILE($B$5:$B$204,3)+1.5*(QUARTILE($B$5:$B$204,3)-QUARTILE($B$5:$B$204,1))),"Review","Within range")</f>
        <v/>
      </c>
      <c r="Q187" s="6">
        <f>IF(OR(C187&lt;QUARTILE($C$5:$C$204,1)-1.5*(QUARTILE($C$5:$C$204,3)-QUARTILE($C$5:$C$204,1)),C187&gt;QUARTILE($C$5:$C$204,3)+1.5*(QUARTILE($C$5:$C$204,3)-QUARTILE($C$5:$C$204,1))),"Review","Within range")</f>
        <v/>
      </c>
      <c r="R187" s="6">
        <f>IF(OR(D187&lt;QUARTILE($D$5:$D$204,1)-1.5*(QUARTILE($D$5:$D$204,3)-QUARTILE($D$5:$D$204,1)),D187&gt;QUARTILE($D$5:$D$204,3)+1.5*(QUARTILE($D$5:$D$204,3)-QUARTILE($D$5:$D$204,1))),"Review","Within range")</f>
        <v/>
      </c>
      <c r="S187" s="6">
        <f>IF(OR(E187&lt;QUARTILE($E$5:$E$204,1)-1.5*(QUARTILE($E$5:$E$204,3)-QUARTILE($E$5:$E$204,1)),E187&gt;QUARTILE($E$5:$E$204,3)+1.5*(QUARTILE($E$5:$E$204,3)-QUARTILE($E$5:$E$204,1))),"Review","Within range")</f>
        <v/>
      </c>
      <c r="T187" s="6">
        <f>IF(COUNTBLANK(A187:E187)&gt;0,"Missing value",IF(COUNTIF(B187:E187,"&lt;0")&gt;0,"Negative value",IF(COUNTIF($A$5:$A$204,A187)&gt;1,"Duplicate market ID",IF(OR(P187="Review",Q187="Review",R187="Review",S187="Review"),"Review outlier","OK"))))</f>
        <v/>
      </c>
    </row>
    <row r="188">
      <c r="A188" s="6">
        <f>Raw_Data!A188</f>
        <v/>
      </c>
      <c r="B188" s="7">
        <f>Raw_Data!B188</f>
        <v/>
      </c>
      <c r="C188" s="7">
        <f>Raw_Data!C188</f>
        <v/>
      </c>
      <c r="D188" s="7">
        <f>Raw_Data!D188</f>
        <v/>
      </c>
      <c r="E188" s="7">
        <f>Raw_Data!E188</f>
        <v/>
      </c>
      <c r="F188" s="7">
        <f>SUM(B188:D188)</f>
        <v/>
      </c>
      <c r="G188" s="8">
        <f>IFERROR(B188/F188,0)</f>
        <v/>
      </c>
      <c r="H188" s="8">
        <f>IFERROR(C188/F188,0)</f>
        <v/>
      </c>
      <c r="I188" s="8">
        <f>IFERROR(D188/F188,0)</f>
        <v/>
      </c>
      <c r="J188" s="9">
        <f>IFERROR(E188/F188,0)</f>
        <v/>
      </c>
      <c r="K188" s="9">
        <f>IFERROR((B188-AVERAGE($B$5:$B$204))/STDEV($B$5:$B$204),0)</f>
        <v/>
      </c>
      <c r="L188" s="9">
        <f>IFERROR((C188-AVERAGE($C$5:$C$204))/STDEV($C$5:$C$204),0)</f>
        <v/>
      </c>
      <c r="M188" s="9">
        <f>IFERROR((D188-AVERAGE($D$5:$D$204))/STDEV($D$5:$D$204),0)</f>
        <v/>
      </c>
      <c r="N188" s="9">
        <f>IFERROR((E188-AVERAGE($E$5:$E$204))/STDEV($E$5:$E$204),0)</f>
        <v/>
      </c>
      <c r="O188" s="9">
        <f>IFERROR((F188-AVERAGE($F$5:$F$204))/STDEV($F$5:$F$204),0)</f>
        <v/>
      </c>
      <c r="P188" s="6">
        <f>IF(OR(B188&lt;QUARTILE($B$5:$B$204,1)-1.5*(QUARTILE($B$5:$B$204,3)-QUARTILE($B$5:$B$204,1)),B188&gt;QUARTILE($B$5:$B$204,3)+1.5*(QUARTILE($B$5:$B$204,3)-QUARTILE($B$5:$B$204,1))),"Review","Within range")</f>
        <v/>
      </c>
      <c r="Q188" s="6">
        <f>IF(OR(C188&lt;QUARTILE($C$5:$C$204,1)-1.5*(QUARTILE($C$5:$C$204,3)-QUARTILE($C$5:$C$204,1)),C188&gt;QUARTILE($C$5:$C$204,3)+1.5*(QUARTILE($C$5:$C$204,3)-QUARTILE($C$5:$C$204,1))),"Review","Within range")</f>
        <v/>
      </c>
      <c r="R188" s="6">
        <f>IF(OR(D188&lt;QUARTILE($D$5:$D$204,1)-1.5*(QUARTILE($D$5:$D$204,3)-QUARTILE($D$5:$D$204,1)),D188&gt;QUARTILE($D$5:$D$204,3)+1.5*(QUARTILE($D$5:$D$204,3)-QUARTILE($D$5:$D$204,1))),"Review","Within range")</f>
        <v/>
      </c>
      <c r="S188" s="6">
        <f>IF(OR(E188&lt;QUARTILE($E$5:$E$204,1)-1.5*(QUARTILE($E$5:$E$204,3)-QUARTILE($E$5:$E$204,1)),E188&gt;QUARTILE($E$5:$E$204,3)+1.5*(QUARTILE($E$5:$E$204,3)-QUARTILE($E$5:$E$204,1))),"Review","Within range")</f>
        <v/>
      </c>
      <c r="T188" s="6">
        <f>IF(COUNTBLANK(A188:E188)&gt;0,"Missing value",IF(COUNTIF(B188:E188,"&lt;0")&gt;0,"Negative value",IF(COUNTIF($A$5:$A$204,A188)&gt;1,"Duplicate market ID",IF(OR(P188="Review",Q188="Review",R188="Review",S188="Review"),"Review outlier","OK"))))</f>
        <v/>
      </c>
    </row>
    <row r="189">
      <c r="A189" s="6">
        <f>Raw_Data!A189</f>
        <v/>
      </c>
      <c r="B189" s="7">
        <f>Raw_Data!B189</f>
        <v/>
      </c>
      <c r="C189" s="7">
        <f>Raw_Data!C189</f>
        <v/>
      </c>
      <c r="D189" s="7">
        <f>Raw_Data!D189</f>
        <v/>
      </c>
      <c r="E189" s="7">
        <f>Raw_Data!E189</f>
        <v/>
      </c>
      <c r="F189" s="7">
        <f>SUM(B189:D189)</f>
        <v/>
      </c>
      <c r="G189" s="8">
        <f>IFERROR(B189/F189,0)</f>
        <v/>
      </c>
      <c r="H189" s="8">
        <f>IFERROR(C189/F189,0)</f>
        <v/>
      </c>
      <c r="I189" s="8">
        <f>IFERROR(D189/F189,0)</f>
        <v/>
      </c>
      <c r="J189" s="9">
        <f>IFERROR(E189/F189,0)</f>
        <v/>
      </c>
      <c r="K189" s="9">
        <f>IFERROR((B189-AVERAGE($B$5:$B$204))/STDEV($B$5:$B$204),0)</f>
        <v/>
      </c>
      <c r="L189" s="9">
        <f>IFERROR((C189-AVERAGE($C$5:$C$204))/STDEV($C$5:$C$204),0)</f>
        <v/>
      </c>
      <c r="M189" s="9">
        <f>IFERROR((D189-AVERAGE($D$5:$D$204))/STDEV($D$5:$D$204),0)</f>
        <v/>
      </c>
      <c r="N189" s="9">
        <f>IFERROR((E189-AVERAGE($E$5:$E$204))/STDEV($E$5:$E$204),0)</f>
        <v/>
      </c>
      <c r="O189" s="9">
        <f>IFERROR((F189-AVERAGE($F$5:$F$204))/STDEV($F$5:$F$204),0)</f>
        <v/>
      </c>
      <c r="P189" s="6">
        <f>IF(OR(B189&lt;QUARTILE($B$5:$B$204,1)-1.5*(QUARTILE($B$5:$B$204,3)-QUARTILE($B$5:$B$204,1)),B189&gt;QUARTILE($B$5:$B$204,3)+1.5*(QUARTILE($B$5:$B$204,3)-QUARTILE($B$5:$B$204,1))),"Review","Within range")</f>
        <v/>
      </c>
      <c r="Q189" s="6">
        <f>IF(OR(C189&lt;QUARTILE($C$5:$C$204,1)-1.5*(QUARTILE($C$5:$C$204,3)-QUARTILE($C$5:$C$204,1)),C189&gt;QUARTILE($C$5:$C$204,3)+1.5*(QUARTILE($C$5:$C$204,3)-QUARTILE($C$5:$C$204,1))),"Review","Within range")</f>
        <v/>
      </c>
      <c r="R189" s="6">
        <f>IF(OR(D189&lt;QUARTILE($D$5:$D$204,1)-1.5*(QUARTILE($D$5:$D$204,3)-QUARTILE($D$5:$D$204,1)),D189&gt;QUARTILE($D$5:$D$204,3)+1.5*(QUARTILE($D$5:$D$204,3)-QUARTILE($D$5:$D$204,1))),"Review","Within range")</f>
        <v/>
      </c>
      <c r="S189" s="6">
        <f>IF(OR(E189&lt;QUARTILE($E$5:$E$204,1)-1.5*(QUARTILE($E$5:$E$204,3)-QUARTILE($E$5:$E$204,1)),E189&gt;QUARTILE($E$5:$E$204,3)+1.5*(QUARTILE($E$5:$E$204,3)-QUARTILE($E$5:$E$204,1))),"Review","Within range")</f>
        <v/>
      </c>
      <c r="T189" s="6">
        <f>IF(COUNTBLANK(A189:E189)&gt;0,"Missing value",IF(COUNTIF(B189:E189,"&lt;0")&gt;0,"Negative value",IF(COUNTIF($A$5:$A$204,A189)&gt;1,"Duplicate market ID",IF(OR(P189="Review",Q189="Review",R189="Review",S189="Review"),"Review outlier","OK"))))</f>
        <v/>
      </c>
    </row>
    <row r="190">
      <c r="A190" s="6">
        <f>Raw_Data!A190</f>
        <v/>
      </c>
      <c r="B190" s="7">
        <f>Raw_Data!B190</f>
        <v/>
      </c>
      <c r="C190" s="7">
        <f>Raw_Data!C190</f>
        <v/>
      </c>
      <c r="D190" s="7">
        <f>Raw_Data!D190</f>
        <v/>
      </c>
      <c r="E190" s="7">
        <f>Raw_Data!E190</f>
        <v/>
      </c>
      <c r="F190" s="7">
        <f>SUM(B190:D190)</f>
        <v/>
      </c>
      <c r="G190" s="8">
        <f>IFERROR(B190/F190,0)</f>
        <v/>
      </c>
      <c r="H190" s="8">
        <f>IFERROR(C190/F190,0)</f>
        <v/>
      </c>
      <c r="I190" s="8">
        <f>IFERROR(D190/F190,0)</f>
        <v/>
      </c>
      <c r="J190" s="9">
        <f>IFERROR(E190/F190,0)</f>
        <v/>
      </c>
      <c r="K190" s="9">
        <f>IFERROR((B190-AVERAGE($B$5:$B$204))/STDEV($B$5:$B$204),0)</f>
        <v/>
      </c>
      <c r="L190" s="9">
        <f>IFERROR((C190-AVERAGE($C$5:$C$204))/STDEV($C$5:$C$204),0)</f>
        <v/>
      </c>
      <c r="M190" s="9">
        <f>IFERROR((D190-AVERAGE($D$5:$D$204))/STDEV($D$5:$D$204),0)</f>
        <v/>
      </c>
      <c r="N190" s="9">
        <f>IFERROR((E190-AVERAGE($E$5:$E$204))/STDEV($E$5:$E$204),0)</f>
        <v/>
      </c>
      <c r="O190" s="9">
        <f>IFERROR((F190-AVERAGE($F$5:$F$204))/STDEV($F$5:$F$204),0)</f>
        <v/>
      </c>
      <c r="P190" s="6">
        <f>IF(OR(B190&lt;QUARTILE($B$5:$B$204,1)-1.5*(QUARTILE($B$5:$B$204,3)-QUARTILE($B$5:$B$204,1)),B190&gt;QUARTILE($B$5:$B$204,3)+1.5*(QUARTILE($B$5:$B$204,3)-QUARTILE($B$5:$B$204,1))),"Review","Within range")</f>
        <v/>
      </c>
      <c r="Q190" s="6">
        <f>IF(OR(C190&lt;QUARTILE($C$5:$C$204,1)-1.5*(QUARTILE($C$5:$C$204,3)-QUARTILE($C$5:$C$204,1)),C190&gt;QUARTILE($C$5:$C$204,3)+1.5*(QUARTILE($C$5:$C$204,3)-QUARTILE($C$5:$C$204,1))),"Review","Within range")</f>
        <v/>
      </c>
      <c r="R190" s="6">
        <f>IF(OR(D190&lt;QUARTILE($D$5:$D$204,1)-1.5*(QUARTILE($D$5:$D$204,3)-QUARTILE($D$5:$D$204,1)),D190&gt;QUARTILE($D$5:$D$204,3)+1.5*(QUARTILE($D$5:$D$204,3)-QUARTILE($D$5:$D$204,1))),"Review","Within range")</f>
        <v/>
      </c>
      <c r="S190" s="6">
        <f>IF(OR(E190&lt;QUARTILE($E$5:$E$204,1)-1.5*(QUARTILE($E$5:$E$204,3)-QUARTILE($E$5:$E$204,1)),E190&gt;QUARTILE($E$5:$E$204,3)+1.5*(QUARTILE($E$5:$E$204,3)-QUARTILE($E$5:$E$204,1))),"Review","Within range")</f>
        <v/>
      </c>
      <c r="T190" s="6">
        <f>IF(COUNTBLANK(A190:E190)&gt;0,"Missing value",IF(COUNTIF(B190:E190,"&lt;0")&gt;0,"Negative value",IF(COUNTIF($A$5:$A$204,A190)&gt;1,"Duplicate market ID",IF(OR(P190="Review",Q190="Review",R190="Review",S190="Review"),"Review outlier","OK"))))</f>
        <v/>
      </c>
    </row>
    <row r="191">
      <c r="A191" s="6">
        <f>Raw_Data!A191</f>
        <v/>
      </c>
      <c r="B191" s="7">
        <f>Raw_Data!B191</f>
        <v/>
      </c>
      <c r="C191" s="7">
        <f>Raw_Data!C191</f>
        <v/>
      </c>
      <c r="D191" s="7">
        <f>Raw_Data!D191</f>
        <v/>
      </c>
      <c r="E191" s="7">
        <f>Raw_Data!E191</f>
        <v/>
      </c>
      <c r="F191" s="7">
        <f>SUM(B191:D191)</f>
        <v/>
      </c>
      <c r="G191" s="8">
        <f>IFERROR(B191/F191,0)</f>
        <v/>
      </c>
      <c r="H191" s="8">
        <f>IFERROR(C191/F191,0)</f>
        <v/>
      </c>
      <c r="I191" s="8">
        <f>IFERROR(D191/F191,0)</f>
        <v/>
      </c>
      <c r="J191" s="9">
        <f>IFERROR(E191/F191,0)</f>
        <v/>
      </c>
      <c r="K191" s="9">
        <f>IFERROR((B191-AVERAGE($B$5:$B$204))/STDEV($B$5:$B$204),0)</f>
        <v/>
      </c>
      <c r="L191" s="9">
        <f>IFERROR((C191-AVERAGE($C$5:$C$204))/STDEV($C$5:$C$204),0)</f>
        <v/>
      </c>
      <c r="M191" s="9">
        <f>IFERROR((D191-AVERAGE($D$5:$D$204))/STDEV($D$5:$D$204),0)</f>
        <v/>
      </c>
      <c r="N191" s="9">
        <f>IFERROR((E191-AVERAGE($E$5:$E$204))/STDEV($E$5:$E$204),0)</f>
        <v/>
      </c>
      <c r="O191" s="9">
        <f>IFERROR((F191-AVERAGE($F$5:$F$204))/STDEV($F$5:$F$204),0)</f>
        <v/>
      </c>
      <c r="P191" s="6">
        <f>IF(OR(B191&lt;QUARTILE($B$5:$B$204,1)-1.5*(QUARTILE($B$5:$B$204,3)-QUARTILE($B$5:$B$204,1)),B191&gt;QUARTILE($B$5:$B$204,3)+1.5*(QUARTILE($B$5:$B$204,3)-QUARTILE($B$5:$B$204,1))),"Review","Within range")</f>
        <v/>
      </c>
      <c r="Q191" s="6">
        <f>IF(OR(C191&lt;QUARTILE($C$5:$C$204,1)-1.5*(QUARTILE($C$5:$C$204,3)-QUARTILE($C$5:$C$204,1)),C191&gt;QUARTILE($C$5:$C$204,3)+1.5*(QUARTILE($C$5:$C$204,3)-QUARTILE($C$5:$C$204,1))),"Review","Within range")</f>
        <v/>
      </c>
      <c r="R191" s="6">
        <f>IF(OR(D191&lt;QUARTILE($D$5:$D$204,1)-1.5*(QUARTILE($D$5:$D$204,3)-QUARTILE($D$5:$D$204,1)),D191&gt;QUARTILE($D$5:$D$204,3)+1.5*(QUARTILE($D$5:$D$204,3)-QUARTILE($D$5:$D$204,1))),"Review","Within range")</f>
        <v/>
      </c>
      <c r="S191" s="6">
        <f>IF(OR(E191&lt;QUARTILE($E$5:$E$204,1)-1.5*(QUARTILE($E$5:$E$204,3)-QUARTILE($E$5:$E$204,1)),E191&gt;QUARTILE($E$5:$E$204,3)+1.5*(QUARTILE($E$5:$E$204,3)-QUARTILE($E$5:$E$204,1))),"Review","Within range")</f>
        <v/>
      </c>
      <c r="T191" s="6">
        <f>IF(COUNTBLANK(A191:E191)&gt;0,"Missing value",IF(COUNTIF(B191:E191,"&lt;0")&gt;0,"Negative value",IF(COUNTIF($A$5:$A$204,A191)&gt;1,"Duplicate market ID",IF(OR(P191="Review",Q191="Review",R191="Review",S191="Review"),"Review outlier","OK"))))</f>
        <v/>
      </c>
    </row>
    <row r="192">
      <c r="A192" s="6">
        <f>Raw_Data!A192</f>
        <v/>
      </c>
      <c r="B192" s="7">
        <f>Raw_Data!B192</f>
        <v/>
      </c>
      <c r="C192" s="7">
        <f>Raw_Data!C192</f>
        <v/>
      </c>
      <c r="D192" s="7">
        <f>Raw_Data!D192</f>
        <v/>
      </c>
      <c r="E192" s="7">
        <f>Raw_Data!E192</f>
        <v/>
      </c>
      <c r="F192" s="7">
        <f>SUM(B192:D192)</f>
        <v/>
      </c>
      <c r="G192" s="8">
        <f>IFERROR(B192/F192,0)</f>
        <v/>
      </c>
      <c r="H192" s="8">
        <f>IFERROR(C192/F192,0)</f>
        <v/>
      </c>
      <c r="I192" s="8">
        <f>IFERROR(D192/F192,0)</f>
        <v/>
      </c>
      <c r="J192" s="9">
        <f>IFERROR(E192/F192,0)</f>
        <v/>
      </c>
      <c r="K192" s="9">
        <f>IFERROR((B192-AVERAGE($B$5:$B$204))/STDEV($B$5:$B$204),0)</f>
        <v/>
      </c>
      <c r="L192" s="9">
        <f>IFERROR((C192-AVERAGE($C$5:$C$204))/STDEV($C$5:$C$204),0)</f>
        <v/>
      </c>
      <c r="M192" s="9">
        <f>IFERROR((D192-AVERAGE($D$5:$D$204))/STDEV($D$5:$D$204),0)</f>
        <v/>
      </c>
      <c r="N192" s="9">
        <f>IFERROR((E192-AVERAGE($E$5:$E$204))/STDEV($E$5:$E$204),0)</f>
        <v/>
      </c>
      <c r="O192" s="9">
        <f>IFERROR((F192-AVERAGE($F$5:$F$204))/STDEV($F$5:$F$204),0)</f>
        <v/>
      </c>
      <c r="P192" s="6">
        <f>IF(OR(B192&lt;QUARTILE($B$5:$B$204,1)-1.5*(QUARTILE($B$5:$B$204,3)-QUARTILE($B$5:$B$204,1)),B192&gt;QUARTILE($B$5:$B$204,3)+1.5*(QUARTILE($B$5:$B$204,3)-QUARTILE($B$5:$B$204,1))),"Review","Within range")</f>
        <v/>
      </c>
      <c r="Q192" s="6">
        <f>IF(OR(C192&lt;QUARTILE($C$5:$C$204,1)-1.5*(QUARTILE($C$5:$C$204,3)-QUARTILE($C$5:$C$204,1)),C192&gt;QUARTILE($C$5:$C$204,3)+1.5*(QUARTILE($C$5:$C$204,3)-QUARTILE($C$5:$C$204,1))),"Review","Within range")</f>
        <v/>
      </c>
      <c r="R192" s="6">
        <f>IF(OR(D192&lt;QUARTILE($D$5:$D$204,1)-1.5*(QUARTILE($D$5:$D$204,3)-QUARTILE($D$5:$D$204,1)),D192&gt;QUARTILE($D$5:$D$204,3)+1.5*(QUARTILE($D$5:$D$204,3)-QUARTILE($D$5:$D$204,1))),"Review","Within range")</f>
        <v/>
      </c>
      <c r="S192" s="6">
        <f>IF(OR(E192&lt;QUARTILE($E$5:$E$204,1)-1.5*(QUARTILE($E$5:$E$204,3)-QUARTILE($E$5:$E$204,1)),E192&gt;QUARTILE($E$5:$E$204,3)+1.5*(QUARTILE($E$5:$E$204,3)-QUARTILE($E$5:$E$204,1))),"Review","Within range")</f>
        <v/>
      </c>
      <c r="T192" s="6">
        <f>IF(COUNTBLANK(A192:E192)&gt;0,"Missing value",IF(COUNTIF(B192:E192,"&lt;0")&gt;0,"Negative value",IF(COUNTIF($A$5:$A$204,A192)&gt;1,"Duplicate market ID",IF(OR(P192="Review",Q192="Review",R192="Review",S192="Review"),"Review outlier","OK"))))</f>
        <v/>
      </c>
    </row>
    <row r="193">
      <c r="A193" s="6">
        <f>Raw_Data!A193</f>
        <v/>
      </c>
      <c r="B193" s="7">
        <f>Raw_Data!B193</f>
        <v/>
      </c>
      <c r="C193" s="7">
        <f>Raw_Data!C193</f>
        <v/>
      </c>
      <c r="D193" s="7">
        <f>Raw_Data!D193</f>
        <v/>
      </c>
      <c r="E193" s="7">
        <f>Raw_Data!E193</f>
        <v/>
      </c>
      <c r="F193" s="7">
        <f>SUM(B193:D193)</f>
        <v/>
      </c>
      <c r="G193" s="8">
        <f>IFERROR(B193/F193,0)</f>
        <v/>
      </c>
      <c r="H193" s="8">
        <f>IFERROR(C193/F193,0)</f>
        <v/>
      </c>
      <c r="I193" s="8">
        <f>IFERROR(D193/F193,0)</f>
        <v/>
      </c>
      <c r="J193" s="9">
        <f>IFERROR(E193/F193,0)</f>
        <v/>
      </c>
      <c r="K193" s="9">
        <f>IFERROR((B193-AVERAGE($B$5:$B$204))/STDEV($B$5:$B$204),0)</f>
        <v/>
      </c>
      <c r="L193" s="9">
        <f>IFERROR((C193-AVERAGE($C$5:$C$204))/STDEV($C$5:$C$204),0)</f>
        <v/>
      </c>
      <c r="M193" s="9">
        <f>IFERROR((D193-AVERAGE($D$5:$D$204))/STDEV($D$5:$D$204),0)</f>
        <v/>
      </c>
      <c r="N193" s="9">
        <f>IFERROR((E193-AVERAGE($E$5:$E$204))/STDEV($E$5:$E$204),0)</f>
        <v/>
      </c>
      <c r="O193" s="9">
        <f>IFERROR((F193-AVERAGE($F$5:$F$204))/STDEV($F$5:$F$204),0)</f>
        <v/>
      </c>
      <c r="P193" s="6">
        <f>IF(OR(B193&lt;QUARTILE($B$5:$B$204,1)-1.5*(QUARTILE($B$5:$B$204,3)-QUARTILE($B$5:$B$204,1)),B193&gt;QUARTILE($B$5:$B$204,3)+1.5*(QUARTILE($B$5:$B$204,3)-QUARTILE($B$5:$B$204,1))),"Review","Within range")</f>
        <v/>
      </c>
      <c r="Q193" s="6">
        <f>IF(OR(C193&lt;QUARTILE($C$5:$C$204,1)-1.5*(QUARTILE($C$5:$C$204,3)-QUARTILE($C$5:$C$204,1)),C193&gt;QUARTILE($C$5:$C$204,3)+1.5*(QUARTILE($C$5:$C$204,3)-QUARTILE($C$5:$C$204,1))),"Review","Within range")</f>
        <v/>
      </c>
      <c r="R193" s="6">
        <f>IF(OR(D193&lt;QUARTILE($D$5:$D$204,1)-1.5*(QUARTILE($D$5:$D$204,3)-QUARTILE($D$5:$D$204,1)),D193&gt;QUARTILE($D$5:$D$204,3)+1.5*(QUARTILE($D$5:$D$204,3)-QUARTILE($D$5:$D$204,1))),"Review","Within range")</f>
        <v/>
      </c>
      <c r="S193" s="6">
        <f>IF(OR(E193&lt;QUARTILE($E$5:$E$204,1)-1.5*(QUARTILE($E$5:$E$204,3)-QUARTILE($E$5:$E$204,1)),E193&gt;QUARTILE($E$5:$E$204,3)+1.5*(QUARTILE($E$5:$E$204,3)-QUARTILE($E$5:$E$204,1))),"Review","Within range")</f>
        <v/>
      </c>
      <c r="T193" s="6">
        <f>IF(COUNTBLANK(A193:E193)&gt;0,"Missing value",IF(COUNTIF(B193:E193,"&lt;0")&gt;0,"Negative value",IF(COUNTIF($A$5:$A$204,A193)&gt;1,"Duplicate market ID",IF(OR(P193="Review",Q193="Review",R193="Review",S193="Review"),"Review outlier","OK"))))</f>
        <v/>
      </c>
    </row>
    <row r="194">
      <c r="A194" s="6">
        <f>Raw_Data!A194</f>
        <v/>
      </c>
      <c r="B194" s="7">
        <f>Raw_Data!B194</f>
        <v/>
      </c>
      <c r="C194" s="7">
        <f>Raw_Data!C194</f>
        <v/>
      </c>
      <c r="D194" s="7">
        <f>Raw_Data!D194</f>
        <v/>
      </c>
      <c r="E194" s="7">
        <f>Raw_Data!E194</f>
        <v/>
      </c>
      <c r="F194" s="7">
        <f>SUM(B194:D194)</f>
        <v/>
      </c>
      <c r="G194" s="8">
        <f>IFERROR(B194/F194,0)</f>
        <v/>
      </c>
      <c r="H194" s="8">
        <f>IFERROR(C194/F194,0)</f>
        <v/>
      </c>
      <c r="I194" s="8">
        <f>IFERROR(D194/F194,0)</f>
        <v/>
      </c>
      <c r="J194" s="9">
        <f>IFERROR(E194/F194,0)</f>
        <v/>
      </c>
      <c r="K194" s="9">
        <f>IFERROR((B194-AVERAGE($B$5:$B$204))/STDEV($B$5:$B$204),0)</f>
        <v/>
      </c>
      <c r="L194" s="9">
        <f>IFERROR((C194-AVERAGE($C$5:$C$204))/STDEV($C$5:$C$204),0)</f>
        <v/>
      </c>
      <c r="M194" s="9">
        <f>IFERROR((D194-AVERAGE($D$5:$D$204))/STDEV($D$5:$D$204),0)</f>
        <v/>
      </c>
      <c r="N194" s="9">
        <f>IFERROR((E194-AVERAGE($E$5:$E$204))/STDEV($E$5:$E$204),0)</f>
        <v/>
      </c>
      <c r="O194" s="9">
        <f>IFERROR((F194-AVERAGE($F$5:$F$204))/STDEV($F$5:$F$204),0)</f>
        <v/>
      </c>
      <c r="P194" s="6">
        <f>IF(OR(B194&lt;QUARTILE($B$5:$B$204,1)-1.5*(QUARTILE($B$5:$B$204,3)-QUARTILE($B$5:$B$204,1)),B194&gt;QUARTILE($B$5:$B$204,3)+1.5*(QUARTILE($B$5:$B$204,3)-QUARTILE($B$5:$B$204,1))),"Review","Within range")</f>
        <v/>
      </c>
      <c r="Q194" s="6">
        <f>IF(OR(C194&lt;QUARTILE($C$5:$C$204,1)-1.5*(QUARTILE($C$5:$C$204,3)-QUARTILE($C$5:$C$204,1)),C194&gt;QUARTILE($C$5:$C$204,3)+1.5*(QUARTILE($C$5:$C$204,3)-QUARTILE($C$5:$C$204,1))),"Review","Within range")</f>
        <v/>
      </c>
      <c r="R194" s="6">
        <f>IF(OR(D194&lt;QUARTILE($D$5:$D$204,1)-1.5*(QUARTILE($D$5:$D$204,3)-QUARTILE($D$5:$D$204,1)),D194&gt;QUARTILE($D$5:$D$204,3)+1.5*(QUARTILE($D$5:$D$204,3)-QUARTILE($D$5:$D$204,1))),"Review","Within range")</f>
        <v/>
      </c>
      <c r="S194" s="6">
        <f>IF(OR(E194&lt;QUARTILE($E$5:$E$204,1)-1.5*(QUARTILE($E$5:$E$204,3)-QUARTILE($E$5:$E$204,1)),E194&gt;QUARTILE($E$5:$E$204,3)+1.5*(QUARTILE($E$5:$E$204,3)-QUARTILE($E$5:$E$204,1))),"Review","Within range")</f>
        <v/>
      </c>
      <c r="T194" s="6">
        <f>IF(COUNTBLANK(A194:E194)&gt;0,"Missing value",IF(COUNTIF(B194:E194,"&lt;0")&gt;0,"Negative value",IF(COUNTIF($A$5:$A$204,A194)&gt;1,"Duplicate market ID",IF(OR(P194="Review",Q194="Review",R194="Review",S194="Review"),"Review outlier","OK"))))</f>
        <v/>
      </c>
    </row>
    <row r="195">
      <c r="A195" s="6">
        <f>Raw_Data!A195</f>
        <v/>
      </c>
      <c r="B195" s="7">
        <f>Raw_Data!B195</f>
        <v/>
      </c>
      <c r="C195" s="7">
        <f>Raw_Data!C195</f>
        <v/>
      </c>
      <c r="D195" s="7">
        <f>Raw_Data!D195</f>
        <v/>
      </c>
      <c r="E195" s="7">
        <f>Raw_Data!E195</f>
        <v/>
      </c>
      <c r="F195" s="7">
        <f>SUM(B195:D195)</f>
        <v/>
      </c>
      <c r="G195" s="8">
        <f>IFERROR(B195/F195,0)</f>
        <v/>
      </c>
      <c r="H195" s="8">
        <f>IFERROR(C195/F195,0)</f>
        <v/>
      </c>
      <c r="I195" s="8">
        <f>IFERROR(D195/F195,0)</f>
        <v/>
      </c>
      <c r="J195" s="9">
        <f>IFERROR(E195/F195,0)</f>
        <v/>
      </c>
      <c r="K195" s="9">
        <f>IFERROR((B195-AVERAGE($B$5:$B$204))/STDEV($B$5:$B$204),0)</f>
        <v/>
      </c>
      <c r="L195" s="9">
        <f>IFERROR((C195-AVERAGE($C$5:$C$204))/STDEV($C$5:$C$204),0)</f>
        <v/>
      </c>
      <c r="M195" s="9">
        <f>IFERROR((D195-AVERAGE($D$5:$D$204))/STDEV($D$5:$D$204),0)</f>
        <v/>
      </c>
      <c r="N195" s="9">
        <f>IFERROR((E195-AVERAGE($E$5:$E$204))/STDEV($E$5:$E$204),0)</f>
        <v/>
      </c>
      <c r="O195" s="9">
        <f>IFERROR((F195-AVERAGE($F$5:$F$204))/STDEV($F$5:$F$204),0)</f>
        <v/>
      </c>
      <c r="P195" s="6">
        <f>IF(OR(B195&lt;QUARTILE($B$5:$B$204,1)-1.5*(QUARTILE($B$5:$B$204,3)-QUARTILE($B$5:$B$204,1)),B195&gt;QUARTILE($B$5:$B$204,3)+1.5*(QUARTILE($B$5:$B$204,3)-QUARTILE($B$5:$B$204,1))),"Review","Within range")</f>
        <v/>
      </c>
      <c r="Q195" s="6">
        <f>IF(OR(C195&lt;QUARTILE($C$5:$C$204,1)-1.5*(QUARTILE($C$5:$C$204,3)-QUARTILE($C$5:$C$204,1)),C195&gt;QUARTILE($C$5:$C$204,3)+1.5*(QUARTILE($C$5:$C$204,3)-QUARTILE($C$5:$C$204,1))),"Review","Within range")</f>
        <v/>
      </c>
      <c r="R195" s="6">
        <f>IF(OR(D195&lt;QUARTILE($D$5:$D$204,1)-1.5*(QUARTILE($D$5:$D$204,3)-QUARTILE($D$5:$D$204,1)),D195&gt;QUARTILE($D$5:$D$204,3)+1.5*(QUARTILE($D$5:$D$204,3)-QUARTILE($D$5:$D$204,1))),"Review","Within range")</f>
        <v/>
      </c>
      <c r="S195" s="6">
        <f>IF(OR(E195&lt;QUARTILE($E$5:$E$204,1)-1.5*(QUARTILE($E$5:$E$204,3)-QUARTILE($E$5:$E$204,1)),E195&gt;QUARTILE($E$5:$E$204,3)+1.5*(QUARTILE($E$5:$E$204,3)-QUARTILE($E$5:$E$204,1))),"Review","Within range")</f>
        <v/>
      </c>
      <c r="T195" s="6">
        <f>IF(COUNTBLANK(A195:E195)&gt;0,"Missing value",IF(COUNTIF(B195:E195,"&lt;0")&gt;0,"Negative value",IF(COUNTIF($A$5:$A$204,A195)&gt;1,"Duplicate market ID",IF(OR(P195="Review",Q195="Review",R195="Review",S195="Review"),"Review outlier","OK"))))</f>
        <v/>
      </c>
    </row>
    <row r="196">
      <c r="A196" s="6">
        <f>Raw_Data!A196</f>
        <v/>
      </c>
      <c r="B196" s="7">
        <f>Raw_Data!B196</f>
        <v/>
      </c>
      <c r="C196" s="7">
        <f>Raw_Data!C196</f>
        <v/>
      </c>
      <c r="D196" s="7">
        <f>Raw_Data!D196</f>
        <v/>
      </c>
      <c r="E196" s="7">
        <f>Raw_Data!E196</f>
        <v/>
      </c>
      <c r="F196" s="7">
        <f>SUM(B196:D196)</f>
        <v/>
      </c>
      <c r="G196" s="8">
        <f>IFERROR(B196/F196,0)</f>
        <v/>
      </c>
      <c r="H196" s="8">
        <f>IFERROR(C196/F196,0)</f>
        <v/>
      </c>
      <c r="I196" s="8">
        <f>IFERROR(D196/F196,0)</f>
        <v/>
      </c>
      <c r="J196" s="9">
        <f>IFERROR(E196/F196,0)</f>
        <v/>
      </c>
      <c r="K196" s="9">
        <f>IFERROR((B196-AVERAGE($B$5:$B$204))/STDEV($B$5:$B$204),0)</f>
        <v/>
      </c>
      <c r="L196" s="9">
        <f>IFERROR((C196-AVERAGE($C$5:$C$204))/STDEV($C$5:$C$204),0)</f>
        <v/>
      </c>
      <c r="M196" s="9">
        <f>IFERROR((D196-AVERAGE($D$5:$D$204))/STDEV($D$5:$D$204),0)</f>
        <v/>
      </c>
      <c r="N196" s="9">
        <f>IFERROR((E196-AVERAGE($E$5:$E$204))/STDEV($E$5:$E$204),0)</f>
        <v/>
      </c>
      <c r="O196" s="9">
        <f>IFERROR((F196-AVERAGE($F$5:$F$204))/STDEV($F$5:$F$204),0)</f>
        <v/>
      </c>
      <c r="P196" s="6">
        <f>IF(OR(B196&lt;QUARTILE($B$5:$B$204,1)-1.5*(QUARTILE($B$5:$B$204,3)-QUARTILE($B$5:$B$204,1)),B196&gt;QUARTILE($B$5:$B$204,3)+1.5*(QUARTILE($B$5:$B$204,3)-QUARTILE($B$5:$B$204,1))),"Review","Within range")</f>
        <v/>
      </c>
      <c r="Q196" s="6">
        <f>IF(OR(C196&lt;QUARTILE($C$5:$C$204,1)-1.5*(QUARTILE($C$5:$C$204,3)-QUARTILE($C$5:$C$204,1)),C196&gt;QUARTILE($C$5:$C$204,3)+1.5*(QUARTILE($C$5:$C$204,3)-QUARTILE($C$5:$C$204,1))),"Review","Within range")</f>
        <v/>
      </c>
      <c r="R196" s="6">
        <f>IF(OR(D196&lt;QUARTILE($D$5:$D$204,1)-1.5*(QUARTILE($D$5:$D$204,3)-QUARTILE($D$5:$D$204,1)),D196&gt;QUARTILE($D$5:$D$204,3)+1.5*(QUARTILE($D$5:$D$204,3)-QUARTILE($D$5:$D$204,1))),"Review","Within range")</f>
        <v/>
      </c>
      <c r="S196" s="6">
        <f>IF(OR(E196&lt;QUARTILE($E$5:$E$204,1)-1.5*(QUARTILE($E$5:$E$204,3)-QUARTILE($E$5:$E$204,1)),E196&gt;QUARTILE($E$5:$E$204,3)+1.5*(QUARTILE($E$5:$E$204,3)-QUARTILE($E$5:$E$204,1))),"Review","Within range")</f>
        <v/>
      </c>
      <c r="T196" s="6">
        <f>IF(COUNTBLANK(A196:E196)&gt;0,"Missing value",IF(COUNTIF(B196:E196,"&lt;0")&gt;0,"Negative value",IF(COUNTIF($A$5:$A$204,A196)&gt;1,"Duplicate market ID",IF(OR(P196="Review",Q196="Review",R196="Review",S196="Review"),"Review outlier","OK"))))</f>
        <v/>
      </c>
    </row>
    <row r="197">
      <c r="A197" s="6">
        <f>Raw_Data!A197</f>
        <v/>
      </c>
      <c r="B197" s="7">
        <f>Raw_Data!B197</f>
        <v/>
      </c>
      <c r="C197" s="7">
        <f>Raw_Data!C197</f>
        <v/>
      </c>
      <c r="D197" s="7">
        <f>Raw_Data!D197</f>
        <v/>
      </c>
      <c r="E197" s="7">
        <f>Raw_Data!E197</f>
        <v/>
      </c>
      <c r="F197" s="7">
        <f>SUM(B197:D197)</f>
        <v/>
      </c>
      <c r="G197" s="8">
        <f>IFERROR(B197/F197,0)</f>
        <v/>
      </c>
      <c r="H197" s="8">
        <f>IFERROR(C197/F197,0)</f>
        <v/>
      </c>
      <c r="I197" s="8">
        <f>IFERROR(D197/F197,0)</f>
        <v/>
      </c>
      <c r="J197" s="9">
        <f>IFERROR(E197/F197,0)</f>
        <v/>
      </c>
      <c r="K197" s="9">
        <f>IFERROR((B197-AVERAGE($B$5:$B$204))/STDEV($B$5:$B$204),0)</f>
        <v/>
      </c>
      <c r="L197" s="9">
        <f>IFERROR((C197-AVERAGE($C$5:$C$204))/STDEV($C$5:$C$204),0)</f>
        <v/>
      </c>
      <c r="M197" s="9">
        <f>IFERROR((D197-AVERAGE($D$5:$D$204))/STDEV($D$5:$D$204),0)</f>
        <v/>
      </c>
      <c r="N197" s="9">
        <f>IFERROR((E197-AVERAGE($E$5:$E$204))/STDEV($E$5:$E$204),0)</f>
        <v/>
      </c>
      <c r="O197" s="9">
        <f>IFERROR((F197-AVERAGE($F$5:$F$204))/STDEV($F$5:$F$204),0)</f>
        <v/>
      </c>
      <c r="P197" s="6">
        <f>IF(OR(B197&lt;QUARTILE($B$5:$B$204,1)-1.5*(QUARTILE($B$5:$B$204,3)-QUARTILE($B$5:$B$204,1)),B197&gt;QUARTILE($B$5:$B$204,3)+1.5*(QUARTILE($B$5:$B$204,3)-QUARTILE($B$5:$B$204,1))),"Review","Within range")</f>
        <v/>
      </c>
      <c r="Q197" s="6">
        <f>IF(OR(C197&lt;QUARTILE($C$5:$C$204,1)-1.5*(QUARTILE($C$5:$C$204,3)-QUARTILE($C$5:$C$204,1)),C197&gt;QUARTILE($C$5:$C$204,3)+1.5*(QUARTILE($C$5:$C$204,3)-QUARTILE($C$5:$C$204,1))),"Review","Within range")</f>
        <v/>
      </c>
      <c r="R197" s="6">
        <f>IF(OR(D197&lt;QUARTILE($D$5:$D$204,1)-1.5*(QUARTILE($D$5:$D$204,3)-QUARTILE($D$5:$D$204,1)),D197&gt;QUARTILE($D$5:$D$204,3)+1.5*(QUARTILE($D$5:$D$204,3)-QUARTILE($D$5:$D$204,1))),"Review","Within range")</f>
        <v/>
      </c>
      <c r="S197" s="6">
        <f>IF(OR(E197&lt;QUARTILE($E$5:$E$204,1)-1.5*(QUARTILE($E$5:$E$204,3)-QUARTILE($E$5:$E$204,1)),E197&gt;QUARTILE($E$5:$E$204,3)+1.5*(QUARTILE($E$5:$E$204,3)-QUARTILE($E$5:$E$204,1))),"Review","Within range")</f>
        <v/>
      </c>
      <c r="T197" s="6">
        <f>IF(COUNTBLANK(A197:E197)&gt;0,"Missing value",IF(COUNTIF(B197:E197,"&lt;0")&gt;0,"Negative value",IF(COUNTIF($A$5:$A$204,A197)&gt;1,"Duplicate market ID",IF(OR(P197="Review",Q197="Review",R197="Review",S197="Review"),"Review outlier","OK"))))</f>
        <v/>
      </c>
    </row>
    <row r="198">
      <c r="A198" s="6">
        <f>Raw_Data!A198</f>
        <v/>
      </c>
      <c r="B198" s="7">
        <f>Raw_Data!B198</f>
        <v/>
      </c>
      <c r="C198" s="7">
        <f>Raw_Data!C198</f>
        <v/>
      </c>
      <c r="D198" s="7">
        <f>Raw_Data!D198</f>
        <v/>
      </c>
      <c r="E198" s="7">
        <f>Raw_Data!E198</f>
        <v/>
      </c>
      <c r="F198" s="7">
        <f>SUM(B198:D198)</f>
        <v/>
      </c>
      <c r="G198" s="8">
        <f>IFERROR(B198/F198,0)</f>
        <v/>
      </c>
      <c r="H198" s="8">
        <f>IFERROR(C198/F198,0)</f>
        <v/>
      </c>
      <c r="I198" s="8">
        <f>IFERROR(D198/F198,0)</f>
        <v/>
      </c>
      <c r="J198" s="9">
        <f>IFERROR(E198/F198,0)</f>
        <v/>
      </c>
      <c r="K198" s="9">
        <f>IFERROR((B198-AVERAGE($B$5:$B$204))/STDEV($B$5:$B$204),0)</f>
        <v/>
      </c>
      <c r="L198" s="9">
        <f>IFERROR((C198-AVERAGE($C$5:$C$204))/STDEV($C$5:$C$204),0)</f>
        <v/>
      </c>
      <c r="M198" s="9">
        <f>IFERROR((D198-AVERAGE($D$5:$D$204))/STDEV($D$5:$D$204),0)</f>
        <v/>
      </c>
      <c r="N198" s="9">
        <f>IFERROR((E198-AVERAGE($E$5:$E$204))/STDEV($E$5:$E$204),0)</f>
        <v/>
      </c>
      <c r="O198" s="9">
        <f>IFERROR((F198-AVERAGE($F$5:$F$204))/STDEV($F$5:$F$204),0)</f>
        <v/>
      </c>
      <c r="P198" s="6">
        <f>IF(OR(B198&lt;QUARTILE($B$5:$B$204,1)-1.5*(QUARTILE($B$5:$B$204,3)-QUARTILE($B$5:$B$204,1)),B198&gt;QUARTILE($B$5:$B$204,3)+1.5*(QUARTILE($B$5:$B$204,3)-QUARTILE($B$5:$B$204,1))),"Review","Within range")</f>
        <v/>
      </c>
      <c r="Q198" s="6">
        <f>IF(OR(C198&lt;QUARTILE($C$5:$C$204,1)-1.5*(QUARTILE($C$5:$C$204,3)-QUARTILE($C$5:$C$204,1)),C198&gt;QUARTILE($C$5:$C$204,3)+1.5*(QUARTILE($C$5:$C$204,3)-QUARTILE($C$5:$C$204,1))),"Review","Within range")</f>
        <v/>
      </c>
      <c r="R198" s="6">
        <f>IF(OR(D198&lt;QUARTILE($D$5:$D$204,1)-1.5*(QUARTILE($D$5:$D$204,3)-QUARTILE($D$5:$D$204,1)),D198&gt;QUARTILE($D$5:$D$204,3)+1.5*(QUARTILE($D$5:$D$204,3)-QUARTILE($D$5:$D$204,1))),"Review","Within range")</f>
        <v/>
      </c>
      <c r="S198" s="6">
        <f>IF(OR(E198&lt;QUARTILE($E$5:$E$204,1)-1.5*(QUARTILE($E$5:$E$204,3)-QUARTILE($E$5:$E$204,1)),E198&gt;QUARTILE($E$5:$E$204,3)+1.5*(QUARTILE($E$5:$E$204,3)-QUARTILE($E$5:$E$204,1))),"Review","Within range")</f>
        <v/>
      </c>
      <c r="T198" s="6">
        <f>IF(COUNTBLANK(A198:E198)&gt;0,"Missing value",IF(COUNTIF(B198:E198,"&lt;0")&gt;0,"Negative value",IF(COUNTIF($A$5:$A$204,A198)&gt;1,"Duplicate market ID",IF(OR(P198="Review",Q198="Review",R198="Review",S198="Review"),"Review outlier","OK"))))</f>
        <v/>
      </c>
    </row>
    <row r="199">
      <c r="A199" s="6">
        <f>Raw_Data!A199</f>
        <v/>
      </c>
      <c r="B199" s="7">
        <f>Raw_Data!B199</f>
        <v/>
      </c>
      <c r="C199" s="7">
        <f>Raw_Data!C199</f>
        <v/>
      </c>
      <c r="D199" s="7">
        <f>Raw_Data!D199</f>
        <v/>
      </c>
      <c r="E199" s="7">
        <f>Raw_Data!E199</f>
        <v/>
      </c>
      <c r="F199" s="7">
        <f>SUM(B199:D199)</f>
        <v/>
      </c>
      <c r="G199" s="8">
        <f>IFERROR(B199/F199,0)</f>
        <v/>
      </c>
      <c r="H199" s="8">
        <f>IFERROR(C199/F199,0)</f>
        <v/>
      </c>
      <c r="I199" s="8">
        <f>IFERROR(D199/F199,0)</f>
        <v/>
      </c>
      <c r="J199" s="9">
        <f>IFERROR(E199/F199,0)</f>
        <v/>
      </c>
      <c r="K199" s="9">
        <f>IFERROR((B199-AVERAGE($B$5:$B$204))/STDEV($B$5:$B$204),0)</f>
        <v/>
      </c>
      <c r="L199" s="9">
        <f>IFERROR((C199-AVERAGE($C$5:$C$204))/STDEV($C$5:$C$204),0)</f>
        <v/>
      </c>
      <c r="M199" s="9">
        <f>IFERROR((D199-AVERAGE($D$5:$D$204))/STDEV($D$5:$D$204),0)</f>
        <v/>
      </c>
      <c r="N199" s="9">
        <f>IFERROR((E199-AVERAGE($E$5:$E$204))/STDEV($E$5:$E$204),0)</f>
        <v/>
      </c>
      <c r="O199" s="9">
        <f>IFERROR((F199-AVERAGE($F$5:$F$204))/STDEV($F$5:$F$204),0)</f>
        <v/>
      </c>
      <c r="P199" s="6">
        <f>IF(OR(B199&lt;QUARTILE($B$5:$B$204,1)-1.5*(QUARTILE($B$5:$B$204,3)-QUARTILE($B$5:$B$204,1)),B199&gt;QUARTILE($B$5:$B$204,3)+1.5*(QUARTILE($B$5:$B$204,3)-QUARTILE($B$5:$B$204,1))),"Review","Within range")</f>
        <v/>
      </c>
      <c r="Q199" s="6">
        <f>IF(OR(C199&lt;QUARTILE($C$5:$C$204,1)-1.5*(QUARTILE($C$5:$C$204,3)-QUARTILE($C$5:$C$204,1)),C199&gt;QUARTILE($C$5:$C$204,3)+1.5*(QUARTILE($C$5:$C$204,3)-QUARTILE($C$5:$C$204,1))),"Review","Within range")</f>
        <v/>
      </c>
      <c r="R199" s="6">
        <f>IF(OR(D199&lt;QUARTILE($D$5:$D$204,1)-1.5*(QUARTILE($D$5:$D$204,3)-QUARTILE($D$5:$D$204,1)),D199&gt;QUARTILE($D$5:$D$204,3)+1.5*(QUARTILE($D$5:$D$204,3)-QUARTILE($D$5:$D$204,1))),"Review","Within range")</f>
        <v/>
      </c>
      <c r="S199" s="6">
        <f>IF(OR(E199&lt;QUARTILE($E$5:$E$204,1)-1.5*(QUARTILE($E$5:$E$204,3)-QUARTILE($E$5:$E$204,1)),E199&gt;QUARTILE($E$5:$E$204,3)+1.5*(QUARTILE($E$5:$E$204,3)-QUARTILE($E$5:$E$204,1))),"Review","Within range")</f>
        <v/>
      </c>
      <c r="T199" s="6">
        <f>IF(COUNTBLANK(A199:E199)&gt;0,"Missing value",IF(COUNTIF(B199:E199,"&lt;0")&gt;0,"Negative value",IF(COUNTIF($A$5:$A$204,A199)&gt;1,"Duplicate market ID",IF(OR(P199="Review",Q199="Review",R199="Review",S199="Review"),"Review outlier","OK"))))</f>
        <v/>
      </c>
    </row>
    <row r="200">
      <c r="A200" s="6">
        <f>Raw_Data!A200</f>
        <v/>
      </c>
      <c r="B200" s="7">
        <f>Raw_Data!B200</f>
        <v/>
      </c>
      <c r="C200" s="7">
        <f>Raw_Data!C200</f>
        <v/>
      </c>
      <c r="D200" s="7">
        <f>Raw_Data!D200</f>
        <v/>
      </c>
      <c r="E200" s="7">
        <f>Raw_Data!E200</f>
        <v/>
      </c>
      <c r="F200" s="7">
        <f>SUM(B200:D200)</f>
        <v/>
      </c>
      <c r="G200" s="8">
        <f>IFERROR(B200/F200,0)</f>
        <v/>
      </c>
      <c r="H200" s="8">
        <f>IFERROR(C200/F200,0)</f>
        <v/>
      </c>
      <c r="I200" s="8">
        <f>IFERROR(D200/F200,0)</f>
        <v/>
      </c>
      <c r="J200" s="9">
        <f>IFERROR(E200/F200,0)</f>
        <v/>
      </c>
      <c r="K200" s="9">
        <f>IFERROR((B200-AVERAGE($B$5:$B$204))/STDEV($B$5:$B$204),0)</f>
        <v/>
      </c>
      <c r="L200" s="9">
        <f>IFERROR((C200-AVERAGE($C$5:$C$204))/STDEV($C$5:$C$204),0)</f>
        <v/>
      </c>
      <c r="M200" s="9">
        <f>IFERROR((D200-AVERAGE($D$5:$D$204))/STDEV($D$5:$D$204),0)</f>
        <v/>
      </c>
      <c r="N200" s="9">
        <f>IFERROR((E200-AVERAGE($E$5:$E$204))/STDEV($E$5:$E$204),0)</f>
        <v/>
      </c>
      <c r="O200" s="9">
        <f>IFERROR((F200-AVERAGE($F$5:$F$204))/STDEV($F$5:$F$204),0)</f>
        <v/>
      </c>
      <c r="P200" s="6">
        <f>IF(OR(B200&lt;QUARTILE($B$5:$B$204,1)-1.5*(QUARTILE($B$5:$B$204,3)-QUARTILE($B$5:$B$204,1)),B200&gt;QUARTILE($B$5:$B$204,3)+1.5*(QUARTILE($B$5:$B$204,3)-QUARTILE($B$5:$B$204,1))),"Review","Within range")</f>
        <v/>
      </c>
      <c r="Q200" s="6">
        <f>IF(OR(C200&lt;QUARTILE($C$5:$C$204,1)-1.5*(QUARTILE($C$5:$C$204,3)-QUARTILE($C$5:$C$204,1)),C200&gt;QUARTILE($C$5:$C$204,3)+1.5*(QUARTILE($C$5:$C$204,3)-QUARTILE($C$5:$C$204,1))),"Review","Within range")</f>
        <v/>
      </c>
      <c r="R200" s="6">
        <f>IF(OR(D200&lt;QUARTILE($D$5:$D$204,1)-1.5*(QUARTILE($D$5:$D$204,3)-QUARTILE($D$5:$D$204,1)),D200&gt;QUARTILE($D$5:$D$204,3)+1.5*(QUARTILE($D$5:$D$204,3)-QUARTILE($D$5:$D$204,1))),"Review","Within range")</f>
        <v/>
      </c>
      <c r="S200" s="6">
        <f>IF(OR(E200&lt;QUARTILE($E$5:$E$204,1)-1.5*(QUARTILE($E$5:$E$204,3)-QUARTILE($E$5:$E$204,1)),E200&gt;QUARTILE($E$5:$E$204,3)+1.5*(QUARTILE($E$5:$E$204,3)-QUARTILE($E$5:$E$204,1))),"Review","Within range")</f>
        <v/>
      </c>
      <c r="T200" s="6">
        <f>IF(COUNTBLANK(A200:E200)&gt;0,"Missing value",IF(COUNTIF(B200:E200,"&lt;0")&gt;0,"Negative value",IF(COUNTIF($A$5:$A$204,A200)&gt;1,"Duplicate market ID",IF(OR(P200="Review",Q200="Review",R200="Review",S200="Review"),"Review outlier","OK"))))</f>
        <v/>
      </c>
    </row>
    <row r="201">
      <c r="A201" s="6">
        <f>Raw_Data!A201</f>
        <v/>
      </c>
      <c r="B201" s="7">
        <f>Raw_Data!B201</f>
        <v/>
      </c>
      <c r="C201" s="7">
        <f>Raw_Data!C201</f>
        <v/>
      </c>
      <c r="D201" s="7">
        <f>Raw_Data!D201</f>
        <v/>
      </c>
      <c r="E201" s="7">
        <f>Raw_Data!E201</f>
        <v/>
      </c>
      <c r="F201" s="7">
        <f>SUM(B201:D201)</f>
        <v/>
      </c>
      <c r="G201" s="8">
        <f>IFERROR(B201/F201,0)</f>
        <v/>
      </c>
      <c r="H201" s="8">
        <f>IFERROR(C201/F201,0)</f>
        <v/>
      </c>
      <c r="I201" s="8">
        <f>IFERROR(D201/F201,0)</f>
        <v/>
      </c>
      <c r="J201" s="9">
        <f>IFERROR(E201/F201,0)</f>
        <v/>
      </c>
      <c r="K201" s="9">
        <f>IFERROR((B201-AVERAGE($B$5:$B$204))/STDEV($B$5:$B$204),0)</f>
        <v/>
      </c>
      <c r="L201" s="9">
        <f>IFERROR((C201-AVERAGE($C$5:$C$204))/STDEV($C$5:$C$204),0)</f>
        <v/>
      </c>
      <c r="M201" s="9">
        <f>IFERROR((D201-AVERAGE($D$5:$D$204))/STDEV($D$5:$D$204),0)</f>
        <v/>
      </c>
      <c r="N201" s="9">
        <f>IFERROR((E201-AVERAGE($E$5:$E$204))/STDEV($E$5:$E$204),0)</f>
        <v/>
      </c>
      <c r="O201" s="9">
        <f>IFERROR((F201-AVERAGE($F$5:$F$204))/STDEV($F$5:$F$204),0)</f>
        <v/>
      </c>
      <c r="P201" s="6">
        <f>IF(OR(B201&lt;QUARTILE($B$5:$B$204,1)-1.5*(QUARTILE($B$5:$B$204,3)-QUARTILE($B$5:$B$204,1)),B201&gt;QUARTILE($B$5:$B$204,3)+1.5*(QUARTILE($B$5:$B$204,3)-QUARTILE($B$5:$B$204,1))),"Review","Within range")</f>
        <v/>
      </c>
      <c r="Q201" s="6">
        <f>IF(OR(C201&lt;QUARTILE($C$5:$C$204,1)-1.5*(QUARTILE($C$5:$C$204,3)-QUARTILE($C$5:$C$204,1)),C201&gt;QUARTILE($C$5:$C$204,3)+1.5*(QUARTILE($C$5:$C$204,3)-QUARTILE($C$5:$C$204,1))),"Review","Within range")</f>
        <v/>
      </c>
      <c r="R201" s="6">
        <f>IF(OR(D201&lt;QUARTILE($D$5:$D$204,1)-1.5*(QUARTILE($D$5:$D$204,3)-QUARTILE($D$5:$D$204,1)),D201&gt;QUARTILE($D$5:$D$204,3)+1.5*(QUARTILE($D$5:$D$204,3)-QUARTILE($D$5:$D$204,1))),"Review","Within range")</f>
        <v/>
      </c>
      <c r="S201" s="6">
        <f>IF(OR(E201&lt;QUARTILE($E$5:$E$204,1)-1.5*(QUARTILE($E$5:$E$204,3)-QUARTILE($E$5:$E$204,1)),E201&gt;QUARTILE($E$5:$E$204,3)+1.5*(QUARTILE($E$5:$E$204,3)-QUARTILE($E$5:$E$204,1))),"Review","Within range")</f>
        <v/>
      </c>
      <c r="T201" s="6">
        <f>IF(COUNTBLANK(A201:E201)&gt;0,"Missing value",IF(COUNTIF(B201:E201,"&lt;0")&gt;0,"Negative value",IF(COUNTIF($A$5:$A$204,A201)&gt;1,"Duplicate market ID",IF(OR(P201="Review",Q201="Review",R201="Review",S201="Review"),"Review outlier","OK"))))</f>
        <v/>
      </c>
    </row>
    <row r="202">
      <c r="A202" s="6">
        <f>Raw_Data!A202</f>
        <v/>
      </c>
      <c r="B202" s="7">
        <f>Raw_Data!B202</f>
        <v/>
      </c>
      <c r="C202" s="7">
        <f>Raw_Data!C202</f>
        <v/>
      </c>
      <c r="D202" s="7">
        <f>Raw_Data!D202</f>
        <v/>
      </c>
      <c r="E202" s="7">
        <f>Raw_Data!E202</f>
        <v/>
      </c>
      <c r="F202" s="7">
        <f>SUM(B202:D202)</f>
        <v/>
      </c>
      <c r="G202" s="8">
        <f>IFERROR(B202/F202,0)</f>
        <v/>
      </c>
      <c r="H202" s="8">
        <f>IFERROR(C202/F202,0)</f>
        <v/>
      </c>
      <c r="I202" s="8">
        <f>IFERROR(D202/F202,0)</f>
        <v/>
      </c>
      <c r="J202" s="9">
        <f>IFERROR(E202/F202,0)</f>
        <v/>
      </c>
      <c r="K202" s="9">
        <f>IFERROR((B202-AVERAGE($B$5:$B$204))/STDEV($B$5:$B$204),0)</f>
        <v/>
      </c>
      <c r="L202" s="9">
        <f>IFERROR((C202-AVERAGE($C$5:$C$204))/STDEV($C$5:$C$204),0)</f>
        <v/>
      </c>
      <c r="M202" s="9">
        <f>IFERROR((D202-AVERAGE($D$5:$D$204))/STDEV($D$5:$D$204),0)</f>
        <v/>
      </c>
      <c r="N202" s="9">
        <f>IFERROR((E202-AVERAGE($E$5:$E$204))/STDEV($E$5:$E$204),0)</f>
        <v/>
      </c>
      <c r="O202" s="9">
        <f>IFERROR((F202-AVERAGE($F$5:$F$204))/STDEV($F$5:$F$204),0)</f>
        <v/>
      </c>
      <c r="P202" s="6">
        <f>IF(OR(B202&lt;QUARTILE($B$5:$B$204,1)-1.5*(QUARTILE($B$5:$B$204,3)-QUARTILE($B$5:$B$204,1)),B202&gt;QUARTILE($B$5:$B$204,3)+1.5*(QUARTILE($B$5:$B$204,3)-QUARTILE($B$5:$B$204,1))),"Review","Within range")</f>
        <v/>
      </c>
      <c r="Q202" s="6">
        <f>IF(OR(C202&lt;QUARTILE($C$5:$C$204,1)-1.5*(QUARTILE($C$5:$C$204,3)-QUARTILE($C$5:$C$204,1)),C202&gt;QUARTILE($C$5:$C$204,3)+1.5*(QUARTILE($C$5:$C$204,3)-QUARTILE($C$5:$C$204,1))),"Review","Within range")</f>
        <v/>
      </c>
      <c r="R202" s="6">
        <f>IF(OR(D202&lt;QUARTILE($D$5:$D$204,1)-1.5*(QUARTILE($D$5:$D$204,3)-QUARTILE($D$5:$D$204,1)),D202&gt;QUARTILE($D$5:$D$204,3)+1.5*(QUARTILE($D$5:$D$204,3)-QUARTILE($D$5:$D$204,1))),"Review","Within range")</f>
        <v/>
      </c>
      <c r="S202" s="6">
        <f>IF(OR(E202&lt;QUARTILE($E$5:$E$204,1)-1.5*(QUARTILE($E$5:$E$204,3)-QUARTILE($E$5:$E$204,1)),E202&gt;QUARTILE($E$5:$E$204,3)+1.5*(QUARTILE($E$5:$E$204,3)-QUARTILE($E$5:$E$204,1))),"Review","Within range")</f>
        <v/>
      </c>
      <c r="T202" s="6">
        <f>IF(COUNTBLANK(A202:E202)&gt;0,"Missing value",IF(COUNTIF(B202:E202,"&lt;0")&gt;0,"Negative value",IF(COUNTIF($A$5:$A$204,A202)&gt;1,"Duplicate market ID",IF(OR(P202="Review",Q202="Review",R202="Review",S202="Review"),"Review outlier","OK"))))</f>
        <v/>
      </c>
    </row>
    <row r="203">
      <c r="A203" s="6">
        <f>Raw_Data!A203</f>
        <v/>
      </c>
      <c r="B203" s="7">
        <f>Raw_Data!B203</f>
        <v/>
      </c>
      <c r="C203" s="7">
        <f>Raw_Data!C203</f>
        <v/>
      </c>
      <c r="D203" s="7">
        <f>Raw_Data!D203</f>
        <v/>
      </c>
      <c r="E203" s="7">
        <f>Raw_Data!E203</f>
        <v/>
      </c>
      <c r="F203" s="7">
        <f>SUM(B203:D203)</f>
        <v/>
      </c>
      <c r="G203" s="8">
        <f>IFERROR(B203/F203,0)</f>
        <v/>
      </c>
      <c r="H203" s="8">
        <f>IFERROR(C203/F203,0)</f>
        <v/>
      </c>
      <c r="I203" s="8">
        <f>IFERROR(D203/F203,0)</f>
        <v/>
      </c>
      <c r="J203" s="9">
        <f>IFERROR(E203/F203,0)</f>
        <v/>
      </c>
      <c r="K203" s="9">
        <f>IFERROR((B203-AVERAGE($B$5:$B$204))/STDEV($B$5:$B$204),0)</f>
        <v/>
      </c>
      <c r="L203" s="9">
        <f>IFERROR((C203-AVERAGE($C$5:$C$204))/STDEV($C$5:$C$204),0)</f>
        <v/>
      </c>
      <c r="M203" s="9">
        <f>IFERROR((D203-AVERAGE($D$5:$D$204))/STDEV($D$5:$D$204),0)</f>
        <v/>
      </c>
      <c r="N203" s="9">
        <f>IFERROR((E203-AVERAGE($E$5:$E$204))/STDEV($E$5:$E$204),0)</f>
        <v/>
      </c>
      <c r="O203" s="9">
        <f>IFERROR((F203-AVERAGE($F$5:$F$204))/STDEV($F$5:$F$204),0)</f>
        <v/>
      </c>
      <c r="P203" s="6">
        <f>IF(OR(B203&lt;QUARTILE($B$5:$B$204,1)-1.5*(QUARTILE($B$5:$B$204,3)-QUARTILE($B$5:$B$204,1)),B203&gt;QUARTILE($B$5:$B$204,3)+1.5*(QUARTILE($B$5:$B$204,3)-QUARTILE($B$5:$B$204,1))),"Review","Within range")</f>
        <v/>
      </c>
      <c r="Q203" s="6">
        <f>IF(OR(C203&lt;QUARTILE($C$5:$C$204,1)-1.5*(QUARTILE($C$5:$C$204,3)-QUARTILE($C$5:$C$204,1)),C203&gt;QUARTILE($C$5:$C$204,3)+1.5*(QUARTILE($C$5:$C$204,3)-QUARTILE($C$5:$C$204,1))),"Review","Within range")</f>
        <v/>
      </c>
      <c r="R203" s="6">
        <f>IF(OR(D203&lt;QUARTILE($D$5:$D$204,1)-1.5*(QUARTILE($D$5:$D$204,3)-QUARTILE($D$5:$D$204,1)),D203&gt;QUARTILE($D$5:$D$204,3)+1.5*(QUARTILE($D$5:$D$204,3)-QUARTILE($D$5:$D$204,1))),"Review","Within range")</f>
        <v/>
      </c>
      <c r="S203" s="6">
        <f>IF(OR(E203&lt;QUARTILE($E$5:$E$204,1)-1.5*(QUARTILE($E$5:$E$204,3)-QUARTILE($E$5:$E$204,1)),E203&gt;QUARTILE($E$5:$E$204,3)+1.5*(QUARTILE($E$5:$E$204,3)-QUARTILE($E$5:$E$204,1))),"Review","Within range")</f>
        <v/>
      </c>
      <c r="T203" s="6">
        <f>IF(COUNTBLANK(A203:E203)&gt;0,"Missing value",IF(COUNTIF(B203:E203,"&lt;0")&gt;0,"Negative value",IF(COUNTIF($A$5:$A$204,A203)&gt;1,"Duplicate market ID",IF(OR(P203="Review",Q203="Review",R203="Review",S203="Review"),"Review outlier","OK"))))</f>
        <v/>
      </c>
    </row>
    <row r="204">
      <c r="A204" s="6">
        <f>Raw_Data!A204</f>
        <v/>
      </c>
      <c r="B204" s="7">
        <f>Raw_Data!B204</f>
        <v/>
      </c>
      <c r="C204" s="7">
        <f>Raw_Data!C204</f>
        <v/>
      </c>
      <c r="D204" s="7">
        <f>Raw_Data!D204</f>
        <v/>
      </c>
      <c r="E204" s="7">
        <f>Raw_Data!E204</f>
        <v/>
      </c>
      <c r="F204" s="7">
        <f>SUM(B204:D204)</f>
        <v/>
      </c>
      <c r="G204" s="8">
        <f>IFERROR(B204/F204,0)</f>
        <v/>
      </c>
      <c r="H204" s="8">
        <f>IFERROR(C204/F204,0)</f>
        <v/>
      </c>
      <c r="I204" s="8">
        <f>IFERROR(D204/F204,0)</f>
        <v/>
      </c>
      <c r="J204" s="9">
        <f>IFERROR(E204/F204,0)</f>
        <v/>
      </c>
      <c r="K204" s="9">
        <f>IFERROR((B204-AVERAGE($B$5:$B$204))/STDEV($B$5:$B$204),0)</f>
        <v/>
      </c>
      <c r="L204" s="9">
        <f>IFERROR((C204-AVERAGE($C$5:$C$204))/STDEV($C$5:$C$204),0)</f>
        <v/>
      </c>
      <c r="M204" s="9">
        <f>IFERROR((D204-AVERAGE($D$5:$D$204))/STDEV($D$5:$D$204),0)</f>
        <v/>
      </c>
      <c r="N204" s="9">
        <f>IFERROR((E204-AVERAGE($E$5:$E$204))/STDEV($E$5:$E$204),0)</f>
        <v/>
      </c>
      <c r="O204" s="9">
        <f>IFERROR((F204-AVERAGE($F$5:$F$204))/STDEV($F$5:$F$204),0)</f>
        <v/>
      </c>
      <c r="P204" s="6">
        <f>IF(OR(B204&lt;QUARTILE($B$5:$B$204,1)-1.5*(QUARTILE($B$5:$B$204,3)-QUARTILE($B$5:$B$204,1)),B204&gt;QUARTILE($B$5:$B$204,3)+1.5*(QUARTILE($B$5:$B$204,3)-QUARTILE($B$5:$B$204,1))),"Review","Within range")</f>
        <v/>
      </c>
      <c r="Q204" s="6">
        <f>IF(OR(C204&lt;QUARTILE($C$5:$C$204,1)-1.5*(QUARTILE($C$5:$C$204,3)-QUARTILE($C$5:$C$204,1)),C204&gt;QUARTILE($C$5:$C$204,3)+1.5*(QUARTILE($C$5:$C$204,3)-QUARTILE($C$5:$C$204,1))),"Review","Within range")</f>
        <v/>
      </c>
      <c r="R204" s="6">
        <f>IF(OR(D204&lt;QUARTILE($D$5:$D$204,1)-1.5*(QUARTILE($D$5:$D$204,3)-QUARTILE($D$5:$D$204,1)),D204&gt;QUARTILE($D$5:$D$204,3)+1.5*(QUARTILE($D$5:$D$204,3)-QUARTILE($D$5:$D$204,1))),"Review","Within range")</f>
        <v/>
      </c>
      <c r="S204" s="6">
        <f>IF(OR(E204&lt;QUARTILE($E$5:$E$204,1)-1.5*(QUARTILE($E$5:$E$204,3)-QUARTILE($E$5:$E$204,1)),E204&gt;QUARTILE($E$5:$E$204,3)+1.5*(QUARTILE($E$5:$E$204,3)-QUARTILE($E$5:$E$204,1))),"Review","Within range")</f>
        <v/>
      </c>
      <c r="T204" s="6">
        <f>IF(COUNTBLANK(A204:E204)&gt;0,"Missing value",IF(COUNTIF(B204:E204,"&lt;0")&gt;0,"Negative value",IF(COUNTIF($A$5:$A$204,A204)&gt;1,"Duplicate market ID",IF(OR(P204="Review",Q204="Review",R204="Review",S204="Review"),"Review outlier","OK"))))</f>
        <v/>
      </c>
    </row>
  </sheetData>
  <autoFilter ref="A4:T204"/>
  <mergeCells count="2">
    <mergeCell ref="A2:H2"/>
    <mergeCell ref="A1:H1"/>
  </mergeCells>
  <conditionalFormatting sqref="T5:T204">
    <cfRule type="expression" priority="1" dxfId="0">
      <formula>$T5="REVIEW_OUTLIER"</formula>
    </cfRule>
    <cfRule type="expression" priority="2" dxfId="1">
      <formula>$T5&lt;&gt;"OK"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5" customWidth="1" min="3" max="3"/>
    <col width="14" customWidth="1" min="4" max="4"/>
  </cols>
  <sheetData>
    <row r="1" ht="30" customHeight="1">
      <c r="A1" s="1" t="inlineStr">
        <is>
          <t>Data Quality | Validation &amp; Cleaning Audit</t>
        </is>
      </c>
    </row>
    <row r="2">
      <c r="A2" s="24" t="inlineStr">
        <is>
          <t>Checks applied to the source data before analysis.</t>
        </is>
      </c>
    </row>
    <row r="3"/>
    <row r="4">
      <c r="A4" s="5" t="inlineStr">
        <is>
          <t>Check</t>
        </is>
      </c>
      <c r="B4" s="5" t="inlineStr">
        <is>
          <t>Formula / Result</t>
        </is>
      </c>
      <c r="C4" s="5" t="inlineStr">
        <is>
          <t>What it checks</t>
        </is>
      </c>
      <c r="D4" s="5" t="inlineStr">
        <is>
          <t>Status</t>
        </is>
      </c>
    </row>
    <row r="5">
      <c r="A5" s="4" t="inlineStr">
        <is>
          <t>Row count</t>
        </is>
      </c>
      <c r="B5" s="4">
        <f>COUNTA(Raw_Data!$A$5:$A$204)</f>
        <v/>
      </c>
      <c r="C5" s="4" t="inlineStr">
        <is>
          <t>Number of source observations.</t>
        </is>
      </c>
      <c r="D5" s="10">
        <f>IF(B5=200,"PASS","CHECK")</f>
        <v/>
      </c>
    </row>
    <row r="6">
      <c r="A6" s="4" t="inlineStr">
        <is>
          <t>Column count</t>
        </is>
      </c>
      <c r="B6" s="4">
        <f>COUNTA(Raw_Data!$4:$4)</f>
        <v/>
      </c>
      <c r="C6" s="4" t="inlineStr">
        <is>
          <t>Number of source fields.</t>
        </is>
      </c>
      <c r="D6" s="10">
        <f>IF(B6=5,"PASS","CHECK")</f>
        <v/>
      </c>
    </row>
    <row r="7">
      <c r="A7" s="4" t="inlineStr">
        <is>
          <t>Missing source cells</t>
        </is>
      </c>
      <c r="B7" s="4">
        <f>COUNTBLANK(Raw_Data!$A$5:$E$204)</f>
        <v/>
      </c>
      <c r="C7" s="4" t="inlineStr">
        <is>
          <t>Blank cells in the source range.</t>
        </is>
      </c>
      <c r="D7" s="10">
        <f>IF(B7=0,"PASS","CHECK")</f>
        <v/>
      </c>
    </row>
    <row r="8">
      <c r="A8" s="4" t="inlineStr">
        <is>
          <t>Negative advertising/sales values</t>
        </is>
      </c>
      <c r="B8" s="4">
        <f>COUNTIF(Raw_Data!$B$5:$E$204,"&lt;0")</f>
        <v/>
      </c>
      <c r="C8" s="4" t="inlineStr">
        <is>
          <t>Negative expenditure or sales values.</t>
        </is>
      </c>
      <c r="D8" s="10">
        <f>IF(B8=0,"PASS","CHECK")</f>
        <v/>
      </c>
    </row>
    <row r="9">
      <c r="A9" s="4" t="inlineStr">
        <is>
          <t>Duplicate market-ID rows</t>
        </is>
      </c>
      <c r="B9" s="4">
        <f>SUMPRODUCT(--(COUNTIF(Raw_Data!$A$5:$A$204,Raw_Data!$A$5:$A$204)&gt;1))</f>
        <v/>
      </c>
      <c r="C9" s="4" t="inlineStr">
        <is>
          <t>Rows sharing a market ID.</t>
        </is>
      </c>
      <c r="D9" s="10">
        <f>IF(B9=0,"PASS","CHECK")</f>
        <v/>
      </c>
    </row>
    <row r="10">
      <c r="A10" s="4" t="inlineStr">
        <is>
          <t>Unique market IDs</t>
        </is>
      </c>
      <c r="B10" s="4">
        <f>SUMPRODUCT(1/COUNTIF(Raw_Data!$A$5:$A$204,Raw_Data!$A$5:$A$204))</f>
        <v/>
      </c>
      <c r="C10" s="4" t="inlineStr">
        <is>
          <t>Number of unique market IDs.</t>
        </is>
      </c>
      <c r="D10" s="10">
        <f>IF(B10=200,"PASS","CHECK")</f>
        <v/>
      </c>
    </row>
    <row r="11">
      <c r="A11" s="4" t="inlineStr">
        <is>
          <t>Zero social-media spend rows</t>
        </is>
      </c>
      <c r="B11" s="4">
        <f>COUNTIF(Raw_Data!$C$5:$C$204,0)</f>
        <v/>
      </c>
      <c r="C11" s="4" t="inlineStr">
        <is>
          <t>Markets with zero social media spend.</t>
        </is>
      </c>
      <c r="D11" s="10">
        <f>IF(B11&gt;=0,"INFO","CHECK")</f>
        <v/>
      </c>
    </row>
    <row r="12">
      <c r="A12" s="4" t="inlineStr">
        <is>
          <t>Print IQR outlier rows</t>
        </is>
      </c>
      <c r="B12" s="4">
        <f>COUNTIF(Working_Data!$R$5:$R$204,"OUTLIER")</f>
        <v/>
      </c>
      <c r="C12" s="4" t="inlineStr">
        <is>
          <t>Print advertising observations flagged by the IQR rule.</t>
        </is>
      </c>
      <c r="D12" s="10">
        <f>IF(B12=0,"None flagged","Review")</f>
        <v/>
      </c>
    </row>
    <row r="13">
      <c r="A13" s="4" t="inlineStr">
        <is>
          <t>Rows requiring review</t>
        </is>
      </c>
      <c r="B13" s="4">
        <f>COUNTIF(Working_Data!$T$5:$T$204,"&lt;&gt;OK")</f>
        <v/>
      </c>
      <c r="C13" s="4" t="inlineStr">
        <is>
          <t>Rows flagged for further review.</t>
        </is>
      </c>
      <c r="D13" s="10">
        <f>IF(B13=0,"None","Review")</f>
        <v/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</cols>
  <sheetData>
    <row r="1" ht="30" customHeight="1">
      <c r="A1" s="1" t="inlineStr">
        <is>
          <t>Descriptive Statistics</t>
        </is>
      </c>
    </row>
    <row r="2">
      <c r="A2" s="24" t="inlineStr">
        <is>
          <t>Summary statistics for the main variables.</t>
        </is>
      </c>
    </row>
    <row r="3"/>
    <row r="4">
      <c r="A4" s="5" t="inlineStr">
        <is>
          <t>Metric</t>
        </is>
      </c>
      <c r="B4" s="5" t="inlineStr">
        <is>
          <t>TV Ads</t>
        </is>
      </c>
      <c r="C4" s="5" t="inlineStr">
        <is>
          <t>Social Media Ads</t>
        </is>
      </c>
      <c r="D4" s="5" t="inlineStr">
        <is>
          <t>Print Ads</t>
        </is>
      </c>
      <c r="E4" s="5" t="inlineStr">
        <is>
          <t>Sales</t>
        </is>
      </c>
      <c r="F4" s="5" t="inlineStr">
        <is>
          <t>Total Ads</t>
        </is>
      </c>
    </row>
    <row r="5">
      <c r="A5" s="11" t="inlineStr">
        <is>
          <t>Count</t>
        </is>
      </c>
      <c r="B5" s="9">
        <f>COUNT(Working_Data!$B$5:$B$204)</f>
        <v/>
      </c>
      <c r="C5" s="9">
        <f>COUNT(Working_Data!$C$5:$C$204)</f>
        <v/>
      </c>
      <c r="D5" s="9">
        <f>COUNT(Working_Data!$D$5:$D$204)</f>
        <v/>
      </c>
      <c r="E5" s="9">
        <f>COUNT(Working_Data!$E$5:$E$204)</f>
        <v/>
      </c>
      <c r="F5" s="9">
        <f>COUNT(Working_Data!$F$5:$F$204)</f>
        <v/>
      </c>
    </row>
    <row r="6">
      <c r="A6" s="11" t="inlineStr">
        <is>
          <t>Mean</t>
        </is>
      </c>
      <c r="B6" s="9">
        <f>AVERAGE(Working_Data!$B$5:$B$204)</f>
        <v/>
      </c>
      <c r="C6" s="9">
        <f>AVERAGE(Working_Data!$C$5:$C$204)</f>
        <v/>
      </c>
      <c r="D6" s="9">
        <f>AVERAGE(Working_Data!$D$5:$D$204)</f>
        <v/>
      </c>
      <c r="E6" s="9">
        <f>AVERAGE(Working_Data!$E$5:$E$204)</f>
        <v/>
      </c>
      <c r="F6" s="9">
        <f>AVERAGE(Working_Data!$F$5:$F$204)</f>
        <v/>
      </c>
    </row>
    <row r="7">
      <c r="A7" s="11" t="inlineStr">
        <is>
          <t>Median</t>
        </is>
      </c>
      <c r="B7" s="9">
        <f>MEDIAN(Working_Data!$B$5:$B$204)</f>
        <v/>
      </c>
      <c r="C7" s="9">
        <f>MEDIAN(Working_Data!$C$5:$C$204)</f>
        <v/>
      </c>
      <c r="D7" s="9">
        <f>MEDIAN(Working_Data!$D$5:$D$204)</f>
        <v/>
      </c>
      <c r="E7" s="9">
        <f>MEDIAN(Working_Data!$E$5:$E$204)</f>
        <v/>
      </c>
      <c r="F7" s="9">
        <f>MEDIAN(Working_Data!$F$5:$F$204)</f>
        <v/>
      </c>
    </row>
    <row r="8">
      <c r="A8" s="11" t="inlineStr">
        <is>
          <t>Std Dev</t>
        </is>
      </c>
      <c r="B8" s="9">
        <f>STDEV(Working_Data!$B$5:$B$204)</f>
        <v/>
      </c>
      <c r="C8" s="9">
        <f>STDEV(Working_Data!$C$5:$C$204)</f>
        <v/>
      </c>
      <c r="D8" s="9">
        <f>STDEV(Working_Data!$D$5:$D$204)</f>
        <v/>
      </c>
      <c r="E8" s="9">
        <f>STDEV(Working_Data!$E$5:$E$204)</f>
        <v/>
      </c>
      <c r="F8" s="9">
        <f>STDEV(Working_Data!$F$5:$F$204)</f>
        <v/>
      </c>
    </row>
    <row r="9">
      <c r="A9" s="11" t="inlineStr">
        <is>
          <t>Minimum</t>
        </is>
      </c>
      <c r="B9" s="9">
        <f>MIN(Working_Data!$B$5:$B$204)</f>
        <v/>
      </c>
      <c r="C9" s="9">
        <f>MIN(Working_Data!$C$5:$C$204)</f>
        <v/>
      </c>
      <c r="D9" s="9">
        <f>MIN(Working_Data!$D$5:$D$204)</f>
        <v/>
      </c>
      <c r="E9" s="9">
        <f>MIN(Working_Data!$E$5:$E$204)</f>
        <v/>
      </c>
      <c r="F9" s="9">
        <f>MIN(Working_Data!$F$5:$F$204)</f>
        <v/>
      </c>
    </row>
    <row r="10">
      <c r="A10" s="11" t="inlineStr">
        <is>
          <t>Q1</t>
        </is>
      </c>
      <c r="B10" s="9">
        <f>QUARTILE(Working_Data!$B$5:$B$204,1)</f>
        <v/>
      </c>
      <c r="C10" s="9">
        <f>QUARTILE(Working_Data!$C$5:$C$204,1)</f>
        <v/>
      </c>
      <c r="D10" s="9">
        <f>QUARTILE(Working_Data!$D$5:$D$204,1)</f>
        <v/>
      </c>
      <c r="E10" s="9">
        <f>QUARTILE(Working_Data!$E$5:$E$204,1)</f>
        <v/>
      </c>
      <c r="F10" s="9">
        <f>QUARTILE(Working_Data!$F$5:$F$204,1)</f>
        <v/>
      </c>
    </row>
    <row r="11">
      <c r="A11" s="11" t="inlineStr">
        <is>
          <t>Q3</t>
        </is>
      </c>
      <c r="B11" s="9">
        <f>QUARTILE(Working_Data!$B$5:$B$204,3)</f>
        <v/>
      </c>
      <c r="C11" s="9">
        <f>QUARTILE(Working_Data!$C$5:$C$204,3)</f>
        <v/>
      </c>
      <c r="D11" s="9">
        <f>QUARTILE(Working_Data!$D$5:$D$204,3)</f>
        <v/>
      </c>
      <c r="E11" s="9">
        <f>QUARTILE(Working_Data!$E$5:$E$204,3)</f>
        <v/>
      </c>
      <c r="F11" s="9">
        <f>QUARTILE(Working_Data!$F$5:$F$204,3)</f>
        <v/>
      </c>
    </row>
    <row r="12">
      <c r="A12" s="11" t="inlineStr">
        <is>
          <t>Maximum</t>
        </is>
      </c>
      <c r="B12" s="9">
        <f>MAX(Working_Data!$B$5:$B$204)</f>
        <v/>
      </c>
      <c r="C12" s="9">
        <f>MAX(Working_Data!$C$5:$C$204)</f>
        <v/>
      </c>
      <c r="D12" s="9">
        <f>MAX(Working_Data!$D$5:$D$204)</f>
        <v/>
      </c>
      <c r="E12" s="9">
        <f>MAX(Working_Data!$E$5:$E$204)</f>
        <v/>
      </c>
      <c r="F12" s="9">
        <f>MAX(Working_Data!$F$5:$F$204)</f>
        <v/>
      </c>
    </row>
    <row r="13">
      <c r="A13" s="11" t="inlineStr">
        <is>
          <t>IQR</t>
        </is>
      </c>
      <c r="B13" s="9">
        <f>QUARTILE(Working_Data!$B$5:$B$204,3)-QUARTILE(Working_Data!$B$5:$B$204,1)</f>
        <v/>
      </c>
      <c r="C13" s="9">
        <f>QUARTILE(Working_Data!$C$5:$C$204,3)-QUARTILE(Working_Data!$C$5:$C$204,1)</f>
        <v/>
      </c>
      <c r="D13" s="9">
        <f>QUARTILE(Working_Data!$D$5:$D$204,3)-QUARTILE(Working_Data!$D$5:$D$204,1)</f>
        <v/>
      </c>
      <c r="E13" s="9">
        <f>QUARTILE(Working_Data!$E$5:$E$204,3)-QUARTILE(Working_Data!$E$5:$E$204,1)</f>
        <v/>
      </c>
      <c r="F13" s="9">
        <f>QUARTILE(Working_Data!$F$5:$F$204,3)-QUARTILE(Working_Data!$F$5:$F$204,1)</f>
        <v/>
      </c>
    </row>
    <row r="14">
      <c r="A14" s="11" t="inlineStr">
        <is>
          <t>Coefficient of Variation</t>
        </is>
      </c>
      <c r="B14" s="9">
        <f>IFERROR(STDEV(Working_Data!$B$5:$B$204)/AVERAGE(Working_Data!$B$5:$B$204),0)</f>
        <v/>
      </c>
      <c r="C14" s="9">
        <f>IFERROR(STDEV(Working_Data!$C$5:$C$204)/AVERAGE(Working_Data!$C$5:$C$204),0)</f>
        <v/>
      </c>
      <c r="D14" s="9">
        <f>IFERROR(STDEV(Working_Data!$D$5:$D$204)/AVERAGE(Working_Data!$D$5:$D$204),0)</f>
        <v/>
      </c>
      <c r="E14" s="9">
        <f>IFERROR(STDEV(Working_Data!$E$5:$E$204)/AVERAGE(Working_Data!$E$5:$E$204),0)</f>
        <v/>
      </c>
      <c r="F14" s="9">
        <f>IFERROR(STDEV(Working_Data!$F$5:$F$204)/AVERAGE(Working_Data!$F$5:$F$204),0)</f>
        <v/>
      </c>
    </row>
    <row r="15">
      <c r="A15" s="12" t="inlineStr">
        <is>
          <t>IQR Outlier Count</t>
        </is>
      </c>
      <c r="B15" s="6">
        <f>COUNTIF(Working_Data!$P$5:$P$204,"OUTLIER")</f>
        <v/>
      </c>
      <c r="C15" s="6">
        <f>COUNTIF(Working_Data!$Q$5:$Q$204,"OUTLIER")</f>
        <v/>
      </c>
      <c r="D15" s="6">
        <f>COUNTIF(Working_Data!$R$5:$R$204,"OUTLIER")</f>
        <v/>
      </c>
      <c r="E15" s="6">
        <f>COUNTIF(Working_Data!$S$5:$S$204,"OUTLIER")</f>
        <v/>
      </c>
      <c r="F15" s="6">
        <f>COUNTIF(Working_Data!$T$5:$T$204,"REVIEW_OUTLIER")</f>
        <v/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Pearson Correlation Matrix</t>
        </is>
      </c>
    </row>
    <row r="2">
      <c r="A2" s="24" t="inlineStr">
        <is>
          <t>Pearson correlation coefficients for the main variables.</t>
        </is>
      </c>
    </row>
    <row r="3"/>
    <row r="4">
      <c r="A4" s="5" t="inlineStr">
        <is>
          <t>Variable</t>
        </is>
      </c>
      <c r="B4" s="5" t="inlineStr">
        <is>
          <t>TV Ads</t>
        </is>
      </c>
      <c r="C4" s="5" t="inlineStr">
        <is>
          <t>Social Media Ads</t>
        </is>
      </c>
      <c r="D4" s="5" t="inlineStr">
        <is>
          <t>Print Ads</t>
        </is>
      </c>
      <c r="E4" s="5" t="inlineStr">
        <is>
          <t>Sales</t>
        </is>
      </c>
    </row>
    <row r="5">
      <c r="A5" s="13" t="inlineStr">
        <is>
          <t>TV Ads</t>
        </is>
      </c>
      <c r="B5" s="14">
        <f>1</f>
        <v/>
      </c>
      <c r="C5" s="14">
        <f>CORREL(Working_Data!$B$5:$B$204,Working_Data!$C$5:$C$204)</f>
        <v/>
      </c>
      <c r="D5" s="14">
        <f>CORREL(Working_Data!$B$5:$B$204,Working_Data!$D$5:$D$204)</f>
        <v/>
      </c>
      <c r="E5" s="14">
        <f>CORREL(Working_Data!$B$5:$B$204,Working_Data!$E$5:$E$204)</f>
        <v/>
      </c>
    </row>
    <row r="6">
      <c r="A6" s="13" t="inlineStr">
        <is>
          <t>Social Media Ads</t>
        </is>
      </c>
      <c r="B6" s="14">
        <f>CORREL(Working_Data!$C$5:$C$204,Working_Data!$B$5:$B$204)</f>
        <v/>
      </c>
      <c r="C6" s="14">
        <f>1</f>
        <v/>
      </c>
      <c r="D6" s="14">
        <f>CORREL(Working_Data!$C$5:$C$204,Working_Data!$D$5:$D$204)</f>
        <v/>
      </c>
      <c r="E6" s="14">
        <f>CORREL(Working_Data!$C$5:$C$204,Working_Data!$E$5:$E$204)</f>
        <v/>
      </c>
    </row>
    <row r="7">
      <c r="A7" s="13" t="inlineStr">
        <is>
          <t>Print Ads</t>
        </is>
      </c>
      <c r="B7" s="14">
        <f>CORREL(Working_Data!$D$5:$D$204,Working_Data!$B$5:$B$204)</f>
        <v/>
      </c>
      <c r="C7" s="14">
        <f>CORREL(Working_Data!$D$5:$D$204,Working_Data!$C$5:$C$204)</f>
        <v/>
      </c>
      <c r="D7" s="14">
        <f>1</f>
        <v/>
      </c>
      <c r="E7" s="14">
        <f>CORREL(Working_Data!$D$5:$D$204,Working_Data!$E$5:$E$204)</f>
        <v/>
      </c>
    </row>
    <row r="8">
      <c r="A8" s="13" t="inlineStr">
        <is>
          <t>Sales</t>
        </is>
      </c>
      <c r="B8" s="14">
        <f>CORREL(Working_Data!$E$5:$E$204,Working_Data!$B$5:$B$204)</f>
        <v/>
      </c>
      <c r="C8" s="14">
        <f>CORREL(Working_Data!$E$5:$E$204,Working_Data!$C$5:$C$204)</f>
        <v/>
      </c>
      <c r="D8" s="14">
        <f>CORREL(Working_Data!$E$5:$E$204,Working_Data!$D$5:$D$204)</f>
        <v/>
      </c>
      <c r="E8" s="14">
        <f>1</f>
        <v/>
      </c>
    </row>
    <row r="9"/>
    <row r="10">
      <c r="A10" s="15" t="inlineStr">
        <is>
          <t>Reading the matrix</t>
        </is>
      </c>
      <c r="B10" s="16" t="inlineStr">
        <is>
          <t>Values close to +1 indicate a strong positive linear association; values close to 0 indicate a weaker linear association. Correlation does not establish causation.</t>
        </is>
      </c>
    </row>
    <row r="11"/>
  </sheetData>
  <mergeCells count="3">
    <mergeCell ref="A2:H2"/>
    <mergeCell ref="B10:E11"/>
    <mergeCell ref="A1:H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8" customWidth="1" min="4" max="4"/>
    <col width="34" customWidth="1" min="5" max="5"/>
    <col width="31" customWidth="1" min="6" max="6"/>
    <col width="31" customWidth="1" min="7" max="7"/>
    <col width="34" customWidth="1" min="8" max="8"/>
  </cols>
  <sheetData>
    <row r="1" ht="30" customHeight="1">
      <c r="A1" s="1" t="inlineStr">
        <is>
          <t>Multiple Linear Regression | Sales ~ TV + Social Media + Print</t>
        </is>
      </c>
    </row>
    <row r="2">
      <c r="A2" s="24" t="inlineStr">
        <is>
          <t>Multiple linear regression of sales on advertising expenditure.</t>
        </is>
      </c>
    </row>
    <row r="3"/>
    <row r="4">
      <c r="A4" s="15" t="inlineStr">
        <is>
          <t>Model</t>
        </is>
      </c>
      <c r="B4" s="17" t="inlineStr">
        <is>
          <t>sales = intercept + βTV·tv_ads + βSocial·social_media_ads + βPrint·print_ads</t>
        </is>
      </c>
    </row>
    <row r="5"/>
    <row r="6">
      <c r="A6" s="5" t="inlineStr">
        <is>
          <t>Term</t>
        </is>
      </c>
      <c r="B6" s="5" t="inlineStr">
        <is>
          <t>Coefficient</t>
        </is>
      </c>
      <c r="C6" s="5" t="inlineStr">
        <is>
          <t>Std. Error</t>
        </is>
      </c>
      <c r="D6" s="5" t="inlineStr">
        <is>
          <t>t Statistic</t>
        </is>
      </c>
      <c r="E6" s="5" t="inlineStr">
        <is>
          <t>p Value</t>
        </is>
      </c>
      <c r="F6" s="5" t="inlineStr">
        <is>
          <t>95% CI Low</t>
        </is>
      </c>
      <c r="G6" s="5" t="inlineStr">
        <is>
          <t>95% CI High</t>
        </is>
      </c>
      <c r="H6" s="5" t="inlineStr">
        <is>
          <t>Interpretation</t>
        </is>
      </c>
    </row>
    <row r="7">
      <c r="A7" s="4" t="inlineStr">
        <is>
          <t>TV Ads</t>
        </is>
      </c>
      <c r="B7" s="18">
        <f>INDEX(LINEST(Working_Data!$E$5:$E$204,Working_Data!$B$5:$D$204,TRUE,TRUE),1,3)</f>
        <v/>
      </c>
      <c r="C7" s="18">
        <f>INDEX(LINEST(Working_Data!$E$5:$E$204,Working_Data!$B$5:$D$204,TRUE,TRUE),2,3)</f>
        <v/>
      </c>
      <c r="D7" s="18">
        <f>B7/C7</f>
        <v/>
      </c>
      <c r="E7" s="18">
        <f>TDIST(ABS(D7),$B$15,2)</f>
        <v/>
      </c>
      <c r="F7" s="18">
        <f>B7-TINV(0.05,$B$15)*C7</f>
        <v/>
      </c>
      <c r="G7" s="18">
        <f>B7+TINV(0.05,$B$15)*C7</f>
        <v/>
      </c>
      <c r="H7" s="4" t="inlineStr">
        <is>
          <t>Incremental association holding the other model predictors constant.</t>
        </is>
      </c>
    </row>
    <row r="8">
      <c r="A8" s="4" t="inlineStr">
        <is>
          <t>Social Media Ads</t>
        </is>
      </c>
      <c r="B8" s="18">
        <f>INDEX(LINEST(Working_Data!$E$5:$E$204,Working_Data!$B$5:$D$204,TRUE,TRUE),1,2)</f>
        <v/>
      </c>
      <c r="C8" s="18">
        <f>INDEX(LINEST(Working_Data!$E$5:$E$204,Working_Data!$B$5:$D$204,TRUE,TRUE),2,2)</f>
        <v/>
      </c>
      <c r="D8" s="18">
        <f>B8/C8</f>
        <v/>
      </c>
      <c r="E8" s="18">
        <f>TDIST(ABS(D8),$B$15,2)</f>
        <v/>
      </c>
      <c r="F8" s="18">
        <f>B8-TINV(0.05,$B$15)*C8</f>
        <v/>
      </c>
      <c r="G8" s="18">
        <f>B8+TINV(0.05,$B$15)*C8</f>
        <v/>
      </c>
      <c r="H8" s="4" t="inlineStr">
        <is>
          <t>Incremental association holding the other model predictors constant.</t>
        </is>
      </c>
    </row>
    <row r="9">
      <c r="A9" s="4" t="inlineStr">
        <is>
          <t>Print Ads</t>
        </is>
      </c>
      <c r="B9" s="18">
        <f>INDEX(LINEST(Working_Data!$E$5:$E$204,Working_Data!$B$5:$D$204,TRUE,TRUE),1,1)</f>
        <v/>
      </c>
      <c r="C9" s="18">
        <f>INDEX(LINEST(Working_Data!$E$5:$E$204,Working_Data!$B$5:$D$204,TRUE,TRUE),2,1)</f>
        <v/>
      </c>
      <c r="D9" s="18">
        <f>B9/C9</f>
        <v/>
      </c>
      <c r="E9" s="18">
        <f>TDIST(ABS(D9),$B$15,2)</f>
        <v/>
      </c>
      <c r="F9" s="18">
        <f>B9-TINV(0.05,$B$15)*C9</f>
        <v/>
      </c>
      <c r="G9" s="18">
        <f>B9+TINV(0.05,$B$15)*C9</f>
        <v/>
      </c>
      <c r="H9" s="4" t="inlineStr">
        <is>
          <t>Incremental association holding the other model predictors constant.</t>
        </is>
      </c>
    </row>
    <row r="10">
      <c r="A10" s="4" t="inlineStr">
        <is>
          <t>Intercept</t>
        </is>
      </c>
      <c r="B10" s="18">
        <f>INDEX(LINEST(Working_Data!$E$5:$E$204,Working_Data!$B$5:$D$204,TRUE,TRUE),1,4)</f>
        <v/>
      </c>
      <c r="C10" s="18">
        <f>INDEX(LINEST(Working_Data!$E$5:$E$204,Working_Data!$B$5:$D$204,TRUE,TRUE),2,4)</f>
        <v/>
      </c>
      <c r="D10" s="18">
        <f>B10/C10</f>
        <v/>
      </c>
      <c r="E10" s="18">
        <f>TDIST(ABS(D10),$B$15,2)</f>
        <v/>
      </c>
      <c r="F10" s="18">
        <f>B10-TINV(0.05,$B$15)*C10</f>
        <v/>
      </c>
      <c r="G10" s="18">
        <f>B10+TINV(0.05,$B$15)*C10</f>
        <v/>
      </c>
      <c r="H10" s="4" t="inlineStr">
        <is>
          <t>Baseline model intercept.</t>
        </is>
      </c>
    </row>
    <row r="11"/>
    <row r="12">
      <c r="A12" s="19" t="inlineStr">
        <is>
          <t>Model Summary</t>
        </is>
      </c>
    </row>
    <row r="13">
      <c r="A13" s="13" t="inlineStr">
        <is>
          <t>Observations</t>
        </is>
      </c>
      <c r="B13" s="20">
        <f>COUNT(Working_Data!$E$5:$E$204)</f>
        <v/>
      </c>
      <c r="E13" s="15" t="inlineStr">
        <is>
          <t>How to read the model</t>
        </is>
      </c>
    </row>
    <row r="14">
      <c r="A14" s="13" t="inlineStr">
        <is>
          <t>Predictors (k)</t>
        </is>
      </c>
      <c r="B14" s="20">
        <f>3</f>
        <v/>
      </c>
      <c r="E14" s="16" t="inlineStr">
        <is>
          <t>Coefficients show the estimated change in sales associated with a one-unit change in a channel while the other channels are held constant. R² describes the share of observed sales variation explained by the fitted model.</t>
        </is>
      </c>
    </row>
    <row r="15">
      <c r="A15" s="13" t="inlineStr">
        <is>
          <t>Residual degrees of freedom</t>
        </is>
      </c>
      <c r="B15" s="20">
        <f>B13-B14</f>
        <v/>
      </c>
    </row>
    <row r="16">
      <c r="A16" s="13" t="inlineStr">
        <is>
          <t>R-squared</t>
        </is>
      </c>
      <c r="B16" s="20">
        <f>INDEX(LINEST(Working_Data!$E$5:$E$204,Working_Data!$B$5:$D$204,TRUE,TRUE),3,1)</f>
        <v/>
      </c>
    </row>
    <row r="17">
      <c r="A17" s="13" t="inlineStr">
        <is>
          <t>Adjusted R-squared</t>
        </is>
      </c>
      <c r="B17" s="20">
        <f>1-(1-B16)*(B13-1)/B15</f>
        <v/>
      </c>
    </row>
    <row r="18">
      <c r="A18" s="13" t="inlineStr">
        <is>
          <t>F Statistic</t>
        </is>
      </c>
      <c r="B18" s="20">
        <f>INDEX(LINEST(Working_Data!$E$5:$E$204,Working_Data!$B$5:$D$204,TRUE,TRUE),4,1)</f>
        <v/>
      </c>
    </row>
    <row r="19">
      <c r="A19" s="13" t="inlineStr">
        <is>
          <t>Model p Value</t>
        </is>
      </c>
      <c r="B19" s="20">
        <f>FDIST(B18,B14,B15)</f>
        <v/>
      </c>
    </row>
    <row r="20">
      <c r="A20" s="13" t="inlineStr">
        <is>
          <t>Standard Error of Estimate</t>
        </is>
      </c>
      <c r="B20" s="20">
        <f>INDEX(LINEST(Working_Data!$E$5:$E$204,Working_Data!$B$5:$D$204,TRUE,TRUE),3,2)</f>
        <v/>
      </c>
      <c r="E20" s="15" t="inlineStr">
        <is>
          <t>Formula check</t>
        </is>
      </c>
    </row>
    <row r="21">
      <c r="E21" s="16" t="inlineStr">
        <is>
          <t>Model statistics are calculated with Excel functions. Select a result cell to view the underlying formula.</t>
        </is>
      </c>
    </row>
    <row r="22"/>
    <row r="23"/>
  </sheetData>
  <mergeCells count="5">
    <mergeCell ref="B4:H4"/>
    <mergeCell ref="A2:H2"/>
    <mergeCell ref="E21:H23"/>
    <mergeCell ref="A1:H1"/>
    <mergeCell ref="E14:H1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Q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4" customWidth="1" min="5" max="5"/>
    <col width="16" customWidth="1" min="6" max="6"/>
    <col width="20" customWidth="1" min="7" max="7"/>
    <col width="16" customWidth="1" min="8" max="8"/>
    <col width="16" customWidth="1" min="9" max="9"/>
    <col width="20" customWidth="1" min="10" max="10"/>
    <col width="22" customWidth="1" min="12" max="12"/>
  </cols>
  <sheetData>
    <row r="1" ht="30" customHeight="1">
      <c r="A1" s="1" t="inlineStr">
        <is>
          <t>Outlier Review | No Automatic Deletion</t>
        </is>
      </c>
    </row>
    <row r="2">
      <c r="A2" s="24" t="inlineStr">
        <is>
          <t>Observations flagged for review using the IQR rule.</t>
        </is>
      </c>
    </row>
    <row r="3"/>
    <row r="4">
      <c r="A4" s="25" t="inlineStr">
        <is>
          <t>Market</t>
        </is>
      </c>
      <c r="B4" s="25" t="inlineStr">
        <is>
          <t>TV Ads</t>
        </is>
      </c>
      <c r="C4" s="25" t="inlineStr">
        <is>
          <t>Social Media Ads</t>
        </is>
      </c>
      <c r="D4" s="25" t="inlineStr">
        <is>
          <t>Print Ads</t>
        </is>
      </c>
      <c r="E4" s="25" t="inlineStr">
        <is>
          <t>Sales</t>
        </is>
      </c>
      <c r="F4" s="25" t="inlineStr">
        <is>
          <t>TV Flag</t>
        </is>
      </c>
      <c r="G4" s="25" t="inlineStr">
        <is>
          <t>Social Media Flag</t>
        </is>
      </c>
      <c r="H4" s="25" t="inlineStr">
        <is>
          <t>Print Flag</t>
        </is>
      </c>
      <c r="I4" s="25" t="inlineStr">
        <is>
          <t>Sales Flag</t>
        </is>
      </c>
      <c r="J4" s="25" t="inlineStr">
        <is>
          <t>Review Status</t>
        </is>
      </c>
      <c r="L4" s="15" t="inlineStr">
        <is>
          <t>Review note</t>
        </is>
      </c>
    </row>
    <row r="5">
      <c r="A5" s="26">
        <f>Working_Data!A5</f>
        <v/>
      </c>
      <c r="B5" s="27">
        <f>Working_Data!B5</f>
        <v/>
      </c>
      <c r="C5" s="27">
        <f>Working_Data!C5</f>
        <v/>
      </c>
      <c r="D5" s="27">
        <f>Working_Data!D5</f>
        <v/>
      </c>
      <c r="E5" s="27">
        <f>Working_Data!E5</f>
        <v/>
      </c>
      <c r="F5" s="28">
        <f>Working_Data!P5</f>
        <v/>
      </c>
      <c r="G5" s="28">
        <f>Working_Data!Q5</f>
        <v/>
      </c>
      <c r="H5" s="28">
        <f>Working_Data!R5</f>
        <v/>
      </c>
      <c r="I5" s="28">
        <f>Working_Data!S5</f>
        <v/>
      </c>
      <c r="J5" s="28">
        <f>Working_Data!T5</f>
        <v/>
      </c>
      <c r="L5" s="16" t="inlineStr">
        <is>
          <t>Use the Review Status filter to isolate records requiring attention.</t>
        </is>
      </c>
    </row>
    <row r="6">
      <c r="A6" s="28">
        <f>Working_Data!A6</f>
        <v/>
      </c>
      <c r="B6" s="27">
        <f>Working_Data!B6</f>
        <v/>
      </c>
      <c r="C6" s="27">
        <f>Working_Data!C6</f>
        <v/>
      </c>
      <c r="D6" s="27">
        <f>Working_Data!D6</f>
        <v/>
      </c>
      <c r="E6" s="27">
        <f>Working_Data!E6</f>
        <v/>
      </c>
      <c r="F6" s="28">
        <f>Working_Data!P6</f>
        <v/>
      </c>
      <c r="G6" s="28">
        <f>Working_Data!Q6</f>
        <v/>
      </c>
      <c r="H6" s="28">
        <f>Working_Data!R6</f>
        <v/>
      </c>
      <c r="I6" s="28">
        <f>Working_Data!S6</f>
        <v/>
      </c>
      <c r="J6" s="28">
        <f>Working_Data!T6</f>
        <v/>
      </c>
    </row>
    <row r="7">
      <c r="A7" s="28">
        <f>Working_Data!A7</f>
        <v/>
      </c>
      <c r="B7" s="27">
        <f>Working_Data!B7</f>
        <v/>
      </c>
      <c r="C7" s="27">
        <f>Working_Data!C7</f>
        <v/>
      </c>
      <c r="D7" s="27">
        <f>Working_Data!D7</f>
        <v/>
      </c>
      <c r="E7" s="27">
        <f>Working_Data!E7</f>
        <v/>
      </c>
      <c r="F7" s="28">
        <f>Working_Data!P7</f>
        <v/>
      </c>
      <c r="G7" s="28">
        <f>Working_Data!Q7</f>
        <v/>
      </c>
      <c r="H7" s="28">
        <f>Working_Data!R7</f>
        <v/>
      </c>
      <c r="I7" s="28">
        <f>Working_Data!S7</f>
        <v/>
      </c>
      <c r="J7" s="28">
        <f>Working_Data!T7</f>
        <v/>
      </c>
    </row>
    <row r="8">
      <c r="A8" s="28">
        <f>Working_Data!A8</f>
        <v/>
      </c>
      <c r="B8" s="27">
        <f>Working_Data!B8</f>
        <v/>
      </c>
      <c r="C8" s="27">
        <f>Working_Data!C8</f>
        <v/>
      </c>
      <c r="D8" s="27">
        <f>Working_Data!D8</f>
        <v/>
      </c>
      <c r="E8" s="27">
        <f>Working_Data!E8</f>
        <v/>
      </c>
      <c r="F8" s="28">
        <f>Working_Data!P8</f>
        <v/>
      </c>
      <c r="G8" s="28">
        <f>Working_Data!Q8</f>
        <v/>
      </c>
      <c r="H8" s="28">
        <f>Working_Data!R8</f>
        <v/>
      </c>
      <c r="I8" s="28">
        <f>Working_Data!S8</f>
        <v/>
      </c>
      <c r="J8" s="28">
        <f>Working_Data!T8</f>
        <v/>
      </c>
    </row>
    <row r="9">
      <c r="A9" s="28">
        <f>Working_Data!A9</f>
        <v/>
      </c>
      <c r="B9" s="27">
        <f>Working_Data!B9</f>
        <v/>
      </c>
      <c r="C9" s="27">
        <f>Working_Data!C9</f>
        <v/>
      </c>
      <c r="D9" s="27">
        <f>Working_Data!D9</f>
        <v/>
      </c>
      <c r="E9" s="27">
        <f>Working_Data!E9</f>
        <v/>
      </c>
      <c r="F9" s="28">
        <f>Working_Data!P9</f>
        <v/>
      </c>
      <c r="G9" s="28">
        <f>Working_Data!Q9</f>
        <v/>
      </c>
      <c r="H9" s="28">
        <f>Working_Data!R9</f>
        <v/>
      </c>
      <c r="I9" s="28">
        <f>Working_Data!S9</f>
        <v/>
      </c>
      <c r="J9" s="28">
        <f>Working_Data!T9</f>
        <v/>
      </c>
    </row>
    <row r="10">
      <c r="A10" s="28">
        <f>Working_Data!A10</f>
        <v/>
      </c>
      <c r="B10" s="27">
        <f>Working_Data!B10</f>
        <v/>
      </c>
      <c r="C10" s="27">
        <f>Working_Data!C10</f>
        <v/>
      </c>
      <c r="D10" s="27">
        <f>Working_Data!D10</f>
        <v/>
      </c>
      <c r="E10" s="27">
        <f>Working_Data!E10</f>
        <v/>
      </c>
      <c r="F10" s="28">
        <f>Working_Data!P10</f>
        <v/>
      </c>
      <c r="G10" s="28">
        <f>Working_Data!Q10</f>
        <v/>
      </c>
      <c r="H10" s="28">
        <f>Working_Data!R10</f>
        <v/>
      </c>
      <c r="I10" s="28">
        <f>Working_Data!S10</f>
        <v/>
      </c>
      <c r="J10" s="28">
        <f>Working_Data!T10</f>
        <v/>
      </c>
    </row>
    <row r="11">
      <c r="A11" s="28">
        <f>Working_Data!A11</f>
        <v/>
      </c>
      <c r="B11" s="27">
        <f>Working_Data!B11</f>
        <v/>
      </c>
      <c r="C11" s="27">
        <f>Working_Data!C11</f>
        <v/>
      </c>
      <c r="D11" s="27">
        <f>Working_Data!D11</f>
        <v/>
      </c>
      <c r="E11" s="27">
        <f>Working_Data!E11</f>
        <v/>
      </c>
      <c r="F11" s="28">
        <f>Working_Data!P11</f>
        <v/>
      </c>
      <c r="G11" s="28">
        <f>Working_Data!Q11</f>
        <v/>
      </c>
      <c r="H11" s="28">
        <f>Working_Data!R11</f>
        <v/>
      </c>
      <c r="I11" s="28">
        <f>Working_Data!S11</f>
        <v/>
      </c>
      <c r="J11" s="28">
        <f>Working_Data!T11</f>
        <v/>
      </c>
    </row>
    <row r="12">
      <c r="A12" s="28">
        <f>Working_Data!A12</f>
        <v/>
      </c>
      <c r="B12" s="27">
        <f>Working_Data!B12</f>
        <v/>
      </c>
      <c r="C12" s="27">
        <f>Working_Data!C12</f>
        <v/>
      </c>
      <c r="D12" s="27">
        <f>Working_Data!D12</f>
        <v/>
      </c>
      <c r="E12" s="27">
        <f>Working_Data!E12</f>
        <v/>
      </c>
      <c r="F12" s="28">
        <f>Working_Data!P12</f>
        <v/>
      </c>
      <c r="G12" s="28">
        <f>Working_Data!Q12</f>
        <v/>
      </c>
      <c r="H12" s="28">
        <f>Working_Data!R12</f>
        <v/>
      </c>
      <c r="I12" s="28">
        <f>Working_Data!S12</f>
        <v/>
      </c>
      <c r="J12" s="28">
        <f>Working_Data!T12</f>
        <v/>
      </c>
    </row>
    <row r="13">
      <c r="A13" s="28">
        <f>Working_Data!A13</f>
        <v/>
      </c>
      <c r="B13" s="27">
        <f>Working_Data!B13</f>
        <v/>
      </c>
      <c r="C13" s="27">
        <f>Working_Data!C13</f>
        <v/>
      </c>
      <c r="D13" s="27">
        <f>Working_Data!D13</f>
        <v/>
      </c>
      <c r="E13" s="27">
        <f>Working_Data!E13</f>
        <v/>
      </c>
      <c r="F13" s="28">
        <f>Working_Data!P13</f>
        <v/>
      </c>
      <c r="G13" s="28">
        <f>Working_Data!Q13</f>
        <v/>
      </c>
      <c r="H13" s="28">
        <f>Working_Data!R13</f>
        <v/>
      </c>
      <c r="I13" s="28">
        <f>Working_Data!S13</f>
        <v/>
      </c>
      <c r="J13" s="28">
        <f>Working_Data!T13</f>
        <v/>
      </c>
    </row>
    <row r="14">
      <c r="A14" s="28">
        <f>Working_Data!A14</f>
        <v/>
      </c>
      <c r="B14" s="27">
        <f>Working_Data!B14</f>
        <v/>
      </c>
      <c r="C14" s="27">
        <f>Working_Data!C14</f>
        <v/>
      </c>
      <c r="D14" s="27">
        <f>Working_Data!D14</f>
        <v/>
      </c>
      <c r="E14" s="27">
        <f>Working_Data!E14</f>
        <v/>
      </c>
      <c r="F14" s="28">
        <f>Working_Data!P14</f>
        <v/>
      </c>
      <c r="G14" s="28">
        <f>Working_Data!Q14</f>
        <v/>
      </c>
      <c r="H14" s="28">
        <f>Working_Data!R14</f>
        <v/>
      </c>
      <c r="I14" s="28">
        <f>Working_Data!S14</f>
        <v/>
      </c>
      <c r="J14" s="28">
        <f>Working_Data!T14</f>
        <v/>
      </c>
    </row>
    <row r="15">
      <c r="A15" s="28">
        <f>Working_Data!A15</f>
        <v/>
      </c>
      <c r="B15" s="27">
        <f>Working_Data!B15</f>
        <v/>
      </c>
      <c r="C15" s="27">
        <f>Working_Data!C15</f>
        <v/>
      </c>
      <c r="D15" s="27">
        <f>Working_Data!D15</f>
        <v/>
      </c>
      <c r="E15" s="27">
        <f>Working_Data!E15</f>
        <v/>
      </c>
      <c r="F15" s="28">
        <f>Working_Data!P15</f>
        <v/>
      </c>
      <c r="G15" s="28">
        <f>Working_Data!Q15</f>
        <v/>
      </c>
      <c r="H15" s="28">
        <f>Working_Data!R15</f>
        <v/>
      </c>
      <c r="I15" s="28">
        <f>Working_Data!S15</f>
        <v/>
      </c>
      <c r="J15" s="28">
        <f>Working_Data!T15</f>
        <v/>
      </c>
    </row>
    <row r="16">
      <c r="A16" s="28">
        <f>Working_Data!A16</f>
        <v/>
      </c>
      <c r="B16" s="27">
        <f>Working_Data!B16</f>
        <v/>
      </c>
      <c r="C16" s="27">
        <f>Working_Data!C16</f>
        <v/>
      </c>
      <c r="D16" s="27">
        <f>Working_Data!D16</f>
        <v/>
      </c>
      <c r="E16" s="27">
        <f>Working_Data!E16</f>
        <v/>
      </c>
      <c r="F16" s="28">
        <f>Working_Data!P16</f>
        <v/>
      </c>
      <c r="G16" s="28">
        <f>Working_Data!Q16</f>
        <v/>
      </c>
      <c r="H16" s="28">
        <f>Working_Data!R16</f>
        <v/>
      </c>
      <c r="I16" s="28">
        <f>Working_Data!S16</f>
        <v/>
      </c>
      <c r="J16" s="28">
        <f>Working_Data!T16</f>
        <v/>
      </c>
    </row>
    <row r="17">
      <c r="A17" s="28">
        <f>Working_Data!A17</f>
        <v/>
      </c>
      <c r="B17" s="27">
        <f>Working_Data!B17</f>
        <v/>
      </c>
      <c r="C17" s="27">
        <f>Working_Data!C17</f>
        <v/>
      </c>
      <c r="D17" s="27">
        <f>Working_Data!D17</f>
        <v/>
      </c>
      <c r="E17" s="27">
        <f>Working_Data!E17</f>
        <v/>
      </c>
      <c r="F17" s="28">
        <f>Working_Data!P17</f>
        <v/>
      </c>
      <c r="G17" s="28">
        <f>Working_Data!Q17</f>
        <v/>
      </c>
      <c r="H17" s="28">
        <f>Working_Data!R17</f>
        <v/>
      </c>
      <c r="I17" s="28">
        <f>Working_Data!S17</f>
        <v/>
      </c>
      <c r="J17" s="28">
        <f>Working_Data!T17</f>
        <v/>
      </c>
    </row>
    <row r="18">
      <c r="A18" s="28">
        <f>Working_Data!A18</f>
        <v/>
      </c>
      <c r="B18" s="27">
        <f>Working_Data!B18</f>
        <v/>
      </c>
      <c r="C18" s="27">
        <f>Working_Data!C18</f>
        <v/>
      </c>
      <c r="D18" s="27">
        <f>Working_Data!D18</f>
        <v/>
      </c>
      <c r="E18" s="27">
        <f>Working_Data!E18</f>
        <v/>
      </c>
      <c r="F18" s="28">
        <f>Working_Data!P18</f>
        <v/>
      </c>
      <c r="G18" s="28">
        <f>Working_Data!Q18</f>
        <v/>
      </c>
      <c r="H18" s="28">
        <f>Working_Data!R18</f>
        <v/>
      </c>
      <c r="I18" s="28">
        <f>Working_Data!S18</f>
        <v/>
      </c>
      <c r="J18" s="28">
        <f>Working_Data!T18</f>
        <v/>
      </c>
    </row>
    <row r="19">
      <c r="A19" s="28">
        <f>Working_Data!A19</f>
        <v/>
      </c>
      <c r="B19" s="27">
        <f>Working_Data!B19</f>
        <v/>
      </c>
      <c r="C19" s="27">
        <f>Working_Data!C19</f>
        <v/>
      </c>
      <c r="D19" s="27">
        <f>Working_Data!D19</f>
        <v/>
      </c>
      <c r="E19" s="27">
        <f>Working_Data!E19</f>
        <v/>
      </c>
      <c r="F19" s="28">
        <f>Working_Data!P19</f>
        <v/>
      </c>
      <c r="G19" s="28">
        <f>Working_Data!Q19</f>
        <v/>
      </c>
      <c r="H19" s="28">
        <f>Working_Data!R19</f>
        <v/>
      </c>
      <c r="I19" s="28">
        <f>Working_Data!S19</f>
        <v/>
      </c>
      <c r="J19" s="28">
        <f>Working_Data!T19</f>
        <v/>
      </c>
    </row>
    <row r="20">
      <c r="A20" s="28">
        <f>Working_Data!A20</f>
        <v/>
      </c>
      <c r="B20" s="27">
        <f>Working_Data!B20</f>
        <v/>
      </c>
      <c r="C20" s="27">
        <f>Working_Data!C20</f>
        <v/>
      </c>
      <c r="D20" s="27">
        <f>Working_Data!D20</f>
        <v/>
      </c>
      <c r="E20" s="27">
        <f>Working_Data!E20</f>
        <v/>
      </c>
      <c r="F20" s="28">
        <f>Working_Data!P20</f>
        <v/>
      </c>
      <c r="G20" s="28">
        <f>Working_Data!Q20</f>
        <v/>
      </c>
      <c r="H20" s="28">
        <f>Working_Data!R20</f>
        <v/>
      </c>
      <c r="I20" s="28">
        <f>Working_Data!S20</f>
        <v/>
      </c>
      <c r="J20" s="28">
        <f>Working_Data!T20</f>
        <v/>
      </c>
    </row>
    <row r="21">
      <c r="A21" s="28">
        <f>Working_Data!A21</f>
        <v/>
      </c>
      <c r="B21" s="27">
        <f>Working_Data!B21</f>
        <v/>
      </c>
      <c r="C21" s="27">
        <f>Working_Data!C21</f>
        <v/>
      </c>
      <c r="D21" s="27">
        <f>Working_Data!D21</f>
        <v/>
      </c>
      <c r="E21" s="27">
        <f>Working_Data!E21</f>
        <v/>
      </c>
      <c r="F21" s="28">
        <f>Working_Data!P21</f>
        <v/>
      </c>
      <c r="G21" s="28">
        <f>Working_Data!Q21</f>
        <v/>
      </c>
      <c r="H21" s="28">
        <f>Working_Data!R21</f>
        <v/>
      </c>
      <c r="I21" s="28">
        <f>Working_Data!S21</f>
        <v/>
      </c>
      <c r="J21" s="28">
        <f>Working_Data!T21</f>
        <v/>
      </c>
    </row>
    <row r="22">
      <c r="A22" s="28">
        <f>Working_Data!A22</f>
        <v/>
      </c>
      <c r="B22" s="27">
        <f>Working_Data!B22</f>
        <v/>
      </c>
      <c r="C22" s="27">
        <f>Working_Data!C22</f>
        <v/>
      </c>
      <c r="D22" s="27">
        <f>Working_Data!D22</f>
        <v/>
      </c>
      <c r="E22" s="27">
        <f>Working_Data!E22</f>
        <v/>
      </c>
      <c r="F22" s="28">
        <f>Working_Data!P22</f>
        <v/>
      </c>
      <c r="G22" s="28">
        <f>Working_Data!Q22</f>
        <v/>
      </c>
      <c r="H22" s="28">
        <f>Working_Data!R22</f>
        <v/>
      </c>
      <c r="I22" s="28">
        <f>Working_Data!S22</f>
        <v/>
      </c>
      <c r="J22" s="28">
        <f>Working_Data!T22</f>
        <v/>
      </c>
    </row>
    <row r="23">
      <c r="A23" s="28">
        <f>Working_Data!A23</f>
        <v/>
      </c>
      <c r="B23" s="27">
        <f>Working_Data!B23</f>
        <v/>
      </c>
      <c r="C23" s="27">
        <f>Working_Data!C23</f>
        <v/>
      </c>
      <c r="D23" s="27">
        <f>Working_Data!D23</f>
        <v/>
      </c>
      <c r="E23" s="27">
        <f>Working_Data!E23</f>
        <v/>
      </c>
      <c r="F23" s="28">
        <f>Working_Data!P23</f>
        <v/>
      </c>
      <c r="G23" s="28">
        <f>Working_Data!Q23</f>
        <v/>
      </c>
      <c r="H23" s="28">
        <f>Working_Data!R23</f>
        <v/>
      </c>
      <c r="I23" s="28">
        <f>Working_Data!S23</f>
        <v/>
      </c>
      <c r="J23" s="28">
        <f>Working_Data!T23</f>
        <v/>
      </c>
    </row>
    <row r="24">
      <c r="A24" s="28">
        <f>Working_Data!A24</f>
        <v/>
      </c>
      <c r="B24" s="27">
        <f>Working_Data!B24</f>
        <v/>
      </c>
      <c r="C24" s="27">
        <f>Working_Data!C24</f>
        <v/>
      </c>
      <c r="D24" s="27">
        <f>Working_Data!D24</f>
        <v/>
      </c>
      <c r="E24" s="27">
        <f>Working_Data!E24</f>
        <v/>
      </c>
      <c r="F24" s="28">
        <f>Working_Data!P24</f>
        <v/>
      </c>
      <c r="G24" s="28">
        <f>Working_Data!Q24</f>
        <v/>
      </c>
      <c r="H24" s="28">
        <f>Working_Data!R24</f>
        <v/>
      </c>
      <c r="I24" s="28">
        <f>Working_Data!S24</f>
        <v/>
      </c>
      <c r="J24" s="28">
        <f>Working_Data!T24</f>
        <v/>
      </c>
    </row>
    <row r="25">
      <c r="A25" s="28">
        <f>Working_Data!A25</f>
        <v/>
      </c>
      <c r="B25" s="27">
        <f>Working_Data!B25</f>
        <v/>
      </c>
      <c r="C25" s="27">
        <f>Working_Data!C25</f>
        <v/>
      </c>
      <c r="D25" s="27">
        <f>Working_Data!D25</f>
        <v/>
      </c>
      <c r="E25" s="27">
        <f>Working_Data!E25</f>
        <v/>
      </c>
      <c r="F25" s="28">
        <f>Working_Data!P25</f>
        <v/>
      </c>
      <c r="G25" s="28">
        <f>Working_Data!Q25</f>
        <v/>
      </c>
      <c r="H25" s="28">
        <f>Working_Data!R25</f>
        <v/>
      </c>
      <c r="I25" s="28">
        <f>Working_Data!S25</f>
        <v/>
      </c>
      <c r="J25" s="28">
        <f>Working_Data!T25</f>
        <v/>
      </c>
    </row>
    <row r="26">
      <c r="A26" s="28">
        <f>Working_Data!A26</f>
        <v/>
      </c>
      <c r="B26" s="27">
        <f>Working_Data!B26</f>
        <v/>
      </c>
      <c r="C26" s="27">
        <f>Working_Data!C26</f>
        <v/>
      </c>
      <c r="D26" s="27">
        <f>Working_Data!D26</f>
        <v/>
      </c>
      <c r="E26" s="27">
        <f>Working_Data!E26</f>
        <v/>
      </c>
      <c r="F26" s="28">
        <f>Working_Data!P26</f>
        <v/>
      </c>
      <c r="G26" s="28">
        <f>Working_Data!Q26</f>
        <v/>
      </c>
      <c r="H26" s="28">
        <f>Working_Data!R26</f>
        <v/>
      </c>
      <c r="I26" s="28">
        <f>Working_Data!S26</f>
        <v/>
      </c>
      <c r="J26" s="28">
        <f>Working_Data!T26</f>
        <v/>
      </c>
    </row>
    <row r="27">
      <c r="A27" s="28">
        <f>Working_Data!A27</f>
        <v/>
      </c>
      <c r="B27" s="27">
        <f>Working_Data!B27</f>
        <v/>
      </c>
      <c r="C27" s="27">
        <f>Working_Data!C27</f>
        <v/>
      </c>
      <c r="D27" s="27">
        <f>Working_Data!D27</f>
        <v/>
      </c>
      <c r="E27" s="27">
        <f>Working_Data!E27</f>
        <v/>
      </c>
      <c r="F27" s="28">
        <f>Working_Data!P27</f>
        <v/>
      </c>
      <c r="G27" s="28">
        <f>Working_Data!Q27</f>
        <v/>
      </c>
      <c r="H27" s="28">
        <f>Working_Data!R27</f>
        <v/>
      </c>
      <c r="I27" s="28">
        <f>Working_Data!S27</f>
        <v/>
      </c>
      <c r="J27" s="28">
        <f>Working_Data!T27</f>
        <v/>
      </c>
    </row>
    <row r="28">
      <c r="A28" s="28">
        <f>Working_Data!A28</f>
        <v/>
      </c>
      <c r="B28" s="27">
        <f>Working_Data!B28</f>
        <v/>
      </c>
      <c r="C28" s="27">
        <f>Working_Data!C28</f>
        <v/>
      </c>
      <c r="D28" s="27">
        <f>Working_Data!D28</f>
        <v/>
      </c>
      <c r="E28" s="27">
        <f>Working_Data!E28</f>
        <v/>
      </c>
      <c r="F28" s="28">
        <f>Working_Data!P28</f>
        <v/>
      </c>
      <c r="G28" s="28">
        <f>Working_Data!Q28</f>
        <v/>
      </c>
      <c r="H28" s="28">
        <f>Working_Data!R28</f>
        <v/>
      </c>
      <c r="I28" s="28">
        <f>Working_Data!S28</f>
        <v/>
      </c>
      <c r="J28" s="28">
        <f>Working_Data!T28</f>
        <v/>
      </c>
    </row>
    <row r="29">
      <c r="A29" s="28">
        <f>Working_Data!A29</f>
        <v/>
      </c>
      <c r="B29" s="27">
        <f>Working_Data!B29</f>
        <v/>
      </c>
      <c r="C29" s="27">
        <f>Working_Data!C29</f>
        <v/>
      </c>
      <c r="D29" s="27">
        <f>Working_Data!D29</f>
        <v/>
      </c>
      <c r="E29" s="27">
        <f>Working_Data!E29</f>
        <v/>
      </c>
      <c r="F29" s="28">
        <f>Working_Data!P29</f>
        <v/>
      </c>
      <c r="G29" s="28">
        <f>Working_Data!Q29</f>
        <v/>
      </c>
      <c r="H29" s="28">
        <f>Working_Data!R29</f>
        <v/>
      </c>
      <c r="I29" s="28">
        <f>Working_Data!S29</f>
        <v/>
      </c>
      <c r="J29" s="28">
        <f>Working_Data!T29</f>
        <v/>
      </c>
    </row>
    <row r="30">
      <c r="A30" s="28">
        <f>Working_Data!A30</f>
        <v/>
      </c>
      <c r="B30" s="27">
        <f>Working_Data!B30</f>
        <v/>
      </c>
      <c r="C30" s="27">
        <f>Working_Data!C30</f>
        <v/>
      </c>
      <c r="D30" s="27">
        <f>Working_Data!D30</f>
        <v/>
      </c>
      <c r="E30" s="27">
        <f>Working_Data!E30</f>
        <v/>
      </c>
      <c r="F30" s="28">
        <f>Working_Data!P30</f>
        <v/>
      </c>
      <c r="G30" s="28">
        <f>Working_Data!Q30</f>
        <v/>
      </c>
      <c r="H30" s="28">
        <f>Working_Data!R30</f>
        <v/>
      </c>
      <c r="I30" s="28">
        <f>Working_Data!S30</f>
        <v/>
      </c>
      <c r="J30" s="28">
        <f>Working_Data!T30</f>
        <v/>
      </c>
    </row>
    <row r="31">
      <c r="A31" s="28">
        <f>Working_Data!A31</f>
        <v/>
      </c>
      <c r="B31" s="27">
        <f>Working_Data!B31</f>
        <v/>
      </c>
      <c r="C31" s="27">
        <f>Working_Data!C31</f>
        <v/>
      </c>
      <c r="D31" s="27">
        <f>Working_Data!D31</f>
        <v/>
      </c>
      <c r="E31" s="27">
        <f>Working_Data!E31</f>
        <v/>
      </c>
      <c r="F31" s="28">
        <f>Working_Data!P31</f>
        <v/>
      </c>
      <c r="G31" s="28">
        <f>Working_Data!Q31</f>
        <v/>
      </c>
      <c r="H31" s="28">
        <f>Working_Data!R31</f>
        <v/>
      </c>
      <c r="I31" s="28">
        <f>Working_Data!S31</f>
        <v/>
      </c>
      <c r="J31" s="28">
        <f>Working_Data!T31</f>
        <v/>
      </c>
    </row>
    <row r="32">
      <c r="A32" s="28">
        <f>Working_Data!A32</f>
        <v/>
      </c>
      <c r="B32" s="27">
        <f>Working_Data!B32</f>
        <v/>
      </c>
      <c r="C32" s="27">
        <f>Working_Data!C32</f>
        <v/>
      </c>
      <c r="D32" s="27">
        <f>Working_Data!D32</f>
        <v/>
      </c>
      <c r="E32" s="27">
        <f>Working_Data!E32</f>
        <v/>
      </c>
      <c r="F32" s="28">
        <f>Working_Data!P32</f>
        <v/>
      </c>
      <c r="G32" s="28">
        <f>Working_Data!Q32</f>
        <v/>
      </c>
      <c r="H32" s="28">
        <f>Working_Data!R32</f>
        <v/>
      </c>
      <c r="I32" s="28">
        <f>Working_Data!S32</f>
        <v/>
      </c>
      <c r="J32" s="28">
        <f>Working_Data!T32</f>
        <v/>
      </c>
    </row>
    <row r="33">
      <c r="A33" s="28">
        <f>Working_Data!A33</f>
        <v/>
      </c>
      <c r="B33" s="27">
        <f>Working_Data!B33</f>
        <v/>
      </c>
      <c r="C33" s="27">
        <f>Working_Data!C33</f>
        <v/>
      </c>
      <c r="D33" s="27">
        <f>Working_Data!D33</f>
        <v/>
      </c>
      <c r="E33" s="27">
        <f>Working_Data!E33</f>
        <v/>
      </c>
      <c r="F33" s="28">
        <f>Working_Data!P33</f>
        <v/>
      </c>
      <c r="G33" s="28">
        <f>Working_Data!Q33</f>
        <v/>
      </c>
      <c r="H33" s="28">
        <f>Working_Data!R33</f>
        <v/>
      </c>
      <c r="I33" s="28">
        <f>Working_Data!S33</f>
        <v/>
      </c>
      <c r="J33" s="28">
        <f>Working_Data!T33</f>
        <v/>
      </c>
    </row>
    <row r="34">
      <c r="A34" s="28">
        <f>Working_Data!A34</f>
        <v/>
      </c>
      <c r="B34" s="27">
        <f>Working_Data!B34</f>
        <v/>
      </c>
      <c r="C34" s="27">
        <f>Working_Data!C34</f>
        <v/>
      </c>
      <c r="D34" s="27">
        <f>Working_Data!D34</f>
        <v/>
      </c>
      <c r="E34" s="27">
        <f>Working_Data!E34</f>
        <v/>
      </c>
      <c r="F34" s="28">
        <f>Working_Data!P34</f>
        <v/>
      </c>
      <c r="G34" s="28">
        <f>Working_Data!Q34</f>
        <v/>
      </c>
      <c r="H34" s="28">
        <f>Working_Data!R34</f>
        <v/>
      </c>
      <c r="I34" s="28">
        <f>Working_Data!S34</f>
        <v/>
      </c>
      <c r="J34" s="28">
        <f>Working_Data!T34</f>
        <v/>
      </c>
    </row>
    <row r="35">
      <c r="A35" s="28">
        <f>Working_Data!A35</f>
        <v/>
      </c>
      <c r="B35" s="27">
        <f>Working_Data!B35</f>
        <v/>
      </c>
      <c r="C35" s="27">
        <f>Working_Data!C35</f>
        <v/>
      </c>
      <c r="D35" s="27">
        <f>Working_Data!D35</f>
        <v/>
      </c>
      <c r="E35" s="27">
        <f>Working_Data!E35</f>
        <v/>
      </c>
      <c r="F35" s="28">
        <f>Working_Data!P35</f>
        <v/>
      </c>
      <c r="G35" s="28">
        <f>Working_Data!Q35</f>
        <v/>
      </c>
      <c r="H35" s="28">
        <f>Working_Data!R35</f>
        <v/>
      </c>
      <c r="I35" s="28">
        <f>Working_Data!S35</f>
        <v/>
      </c>
      <c r="J35" s="28">
        <f>Working_Data!T35</f>
        <v/>
      </c>
    </row>
    <row r="36">
      <c r="A36" s="28">
        <f>Working_Data!A36</f>
        <v/>
      </c>
      <c r="B36" s="27">
        <f>Working_Data!B36</f>
        <v/>
      </c>
      <c r="C36" s="27">
        <f>Working_Data!C36</f>
        <v/>
      </c>
      <c r="D36" s="27">
        <f>Working_Data!D36</f>
        <v/>
      </c>
      <c r="E36" s="27">
        <f>Working_Data!E36</f>
        <v/>
      </c>
      <c r="F36" s="28">
        <f>Working_Data!P36</f>
        <v/>
      </c>
      <c r="G36" s="28">
        <f>Working_Data!Q36</f>
        <v/>
      </c>
      <c r="H36" s="28">
        <f>Working_Data!R36</f>
        <v/>
      </c>
      <c r="I36" s="28">
        <f>Working_Data!S36</f>
        <v/>
      </c>
      <c r="J36" s="28">
        <f>Working_Data!T36</f>
        <v/>
      </c>
    </row>
    <row r="37">
      <c r="A37" s="28">
        <f>Working_Data!A37</f>
        <v/>
      </c>
      <c r="B37" s="27">
        <f>Working_Data!B37</f>
        <v/>
      </c>
      <c r="C37" s="27">
        <f>Working_Data!C37</f>
        <v/>
      </c>
      <c r="D37" s="27">
        <f>Working_Data!D37</f>
        <v/>
      </c>
      <c r="E37" s="27">
        <f>Working_Data!E37</f>
        <v/>
      </c>
      <c r="F37" s="28">
        <f>Working_Data!P37</f>
        <v/>
      </c>
      <c r="G37" s="28">
        <f>Working_Data!Q37</f>
        <v/>
      </c>
      <c r="H37" s="28">
        <f>Working_Data!R37</f>
        <v/>
      </c>
      <c r="I37" s="28">
        <f>Working_Data!S37</f>
        <v/>
      </c>
      <c r="J37" s="28">
        <f>Working_Data!T37</f>
        <v/>
      </c>
    </row>
    <row r="38">
      <c r="A38" s="28">
        <f>Working_Data!A38</f>
        <v/>
      </c>
      <c r="B38" s="27">
        <f>Working_Data!B38</f>
        <v/>
      </c>
      <c r="C38" s="27">
        <f>Working_Data!C38</f>
        <v/>
      </c>
      <c r="D38" s="27">
        <f>Working_Data!D38</f>
        <v/>
      </c>
      <c r="E38" s="27">
        <f>Working_Data!E38</f>
        <v/>
      </c>
      <c r="F38" s="28">
        <f>Working_Data!P38</f>
        <v/>
      </c>
      <c r="G38" s="28">
        <f>Working_Data!Q38</f>
        <v/>
      </c>
      <c r="H38" s="28">
        <f>Working_Data!R38</f>
        <v/>
      </c>
      <c r="I38" s="28">
        <f>Working_Data!S38</f>
        <v/>
      </c>
      <c r="J38" s="28">
        <f>Working_Data!T38</f>
        <v/>
      </c>
    </row>
    <row r="39">
      <c r="A39" s="28">
        <f>Working_Data!A39</f>
        <v/>
      </c>
      <c r="B39" s="27">
        <f>Working_Data!B39</f>
        <v/>
      </c>
      <c r="C39" s="27">
        <f>Working_Data!C39</f>
        <v/>
      </c>
      <c r="D39" s="27">
        <f>Working_Data!D39</f>
        <v/>
      </c>
      <c r="E39" s="27">
        <f>Working_Data!E39</f>
        <v/>
      </c>
      <c r="F39" s="28">
        <f>Working_Data!P39</f>
        <v/>
      </c>
      <c r="G39" s="28">
        <f>Working_Data!Q39</f>
        <v/>
      </c>
      <c r="H39" s="28">
        <f>Working_Data!R39</f>
        <v/>
      </c>
      <c r="I39" s="28">
        <f>Working_Data!S39</f>
        <v/>
      </c>
      <c r="J39" s="28">
        <f>Working_Data!T39</f>
        <v/>
      </c>
    </row>
    <row r="40">
      <c r="A40" s="28">
        <f>Working_Data!A40</f>
        <v/>
      </c>
      <c r="B40" s="27">
        <f>Working_Data!B40</f>
        <v/>
      </c>
      <c r="C40" s="27">
        <f>Working_Data!C40</f>
        <v/>
      </c>
      <c r="D40" s="27">
        <f>Working_Data!D40</f>
        <v/>
      </c>
      <c r="E40" s="27">
        <f>Working_Data!E40</f>
        <v/>
      </c>
      <c r="F40" s="28">
        <f>Working_Data!P40</f>
        <v/>
      </c>
      <c r="G40" s="28">
        <f>Working_Data!Q40</f>
        <v/>
      </c>
      <c r="H40" s="28">
        <f>Working_Data!R40</f>
        <v/>
      </c>
      <c r="I40" s="28">
        <f>Working_Data!S40</f>
        <v/>
      </c>
      <c r="J40" s="28">
        <f>Working_Data!T40</f>
        <v/>
      </c>
    </row>
    <row r="41">
      <c r="A41" s="28">
        <f>Working_Data!A41</f>
        <v/>
      </c>
      <c r="B41" s="27">
        <f>Working_Data!B41</f>
        <v/>
      </c>
      <c r="C41" s="27">
        <f>Working_Data!C41</f>
        <v/>
      </c>
      <c r="D41" s="27">
        <f>Working_Data!D41</f>
        <v/>
      </c>
      <c r="E41" s="27">
        <f>Working_Data!E41</f>
        <v/>
      </c>
      <c r="F41" s="28">
        <f>Working_Data!P41</f>
        <v/>
      </c>
      <c r="G41" s="28">
        <f>Working_Data!Q41</f>
        <v/>
      </c>
      <c r="H41" s="28">
        <f>Working_Data!R41</f>
        <v/>
      </c>
      <c r="I41" s="28">
        <f>Working_Data!S41</f>
        <v/>
      </c>
      <c r="J41" s="28">
        <f>Working_Data!T41</f>
        <v/>
      </c>
    </row>
    <row r="42">
      <c r="A42" s="28">
        <f>Working_Data!A42</f>
        <v/>
      </c>
      <c r="B42" s="27">
        <f>Working_Data!B42</f>
        <v/>
      </c>
      <c r="C42" s="27">
        <f>Working_Data!C42</f>
        <v/>
      </c>
      <c r="D42" s="27">
        <f>Working_Data!D42</f>
        <v/>
      </c>
      <c r="E42" s="27">
        <f>Working_Data!E42</f>
        <v/>
      </c>
      <c r="F42" s="28">
        <f>Working_Data!P42</f>
        <v/>
      </c>
      <c r="G42" s="28">
        <f>Working_Data!Q42</f>
        <v/>
      </c>
      <c r="H42" s="28">
        <f>Working_Data!R42</f>
        <v/>
      </c>
      <c r="I42" s="28">
        <f>Working_Data!S42</f>
        <v/>
      </c>
      <c r="J42" s="28">
        <f>Working_Data!T42</f>
        <v/>
      </c>
    </row>
    <row r="43">
      <c r="A43" s="28">
        <f>Working_Data!A43</f>
        <v/>
      </c>
      <c r="B43" s="27">
        <f>Working_Data!B43</f>
        <v/>
      </c>
      <c r="C43" s="27">
        <f>Working_Data!C43</f>
        <v/>
      </c>
      <c r="D43" s="27">
        <f>Working_Data!D43</f>
        <v/>
      </c>
      <c r="E43" s="27">
        <f>Working_Data!E43</f>
        <v/>
      </c>
      <c r="F43" s="28">
        <f>Working_Data!P43</f>
        <v/>
      </c>
      <c r="G43" s="28">
        <f>Working_Data!Q43</f>
        <v/>
      </c>
      <c r="H43" s="28">
        <f>Working_Data!R43</f>
        <v/>
      </c>
      <c r="I43" s="28">
        <f>Working_Data!S43</f>
        <v/>
      </c>
      <c r="J43" s="28">
        <f>Working_Data!T43</f>
        <v/>
      </c>
    </row>
    <row r="44">
      <c r="A44" s="28">
        <f>Working_Data!A44</f>
        <v/>
      </c>
      <c r="B44" s="27">
        <f>Working_Data!B44</f>
        <v/>
      </c>
      <c r="C44" s="27">
        <f>Working_Data!C44</f>
        <v/>
      </c>
      <c r="D44" s="27">
        <f>Working_Data!D44</f>
        <v/>
      </c>
      <c r="E44" s="27">
        <f>Working_Data!E44</f>
        <v/>
      </c>
      <c r="F44" s="28">
        <f>Working_Data!P44</f>
        <v/>
      </c>
      <c r="G44" s="28">
        <f>Working_Data!Q44</f>
        <v/>
      </c>
      <c r="H44" s="28">
        <f>Working_Data!R44</f>
        <v/>
      </c>
      <c r="I44" s="28">
        <f>Working_Data!S44</f>
        <v/>
      </c>
      <c r="J44" s="28">
        <f>Working_Data!T44</f>
        <v/>
      </c>
    </row>
    <row r="45">
      <c r="A45" s="28">
        <f>Working_Data!A45</f>
        <v/>
      </c>
      <c r="B45" s="27">
        <f>Working_Data!B45</f>
        <v/>
      </c>
      <c r="C45" s="27">
        <f>Working_Data!C45</f>
        <v/>
      </c>
      <c r="D45" s="27">
        <f>Working_Data!D45</f>
        <v/>
      </c>
      <c r="E45" s="27">
        <f>Working_Data!E45</f>
        <v/>
      </c>
      <c r="F45" s="28">
        <f>Working_Data!P45</f>
        <v/>
      </c>
      <c r="G45" s="28">
        <f>Working_Data!Q45</f>
        <v/>
      </c>
      <c r="H45" s="28">
        <f>Working_Data!R45</f>
        <v/>
      </c>
      <c r="I45" s="28">
        <f>Working_Data!S45</f>
        <v/>
      </c>
      <c r="J45" s="28">
        <f>Working_Data!T45</f>
        <v/>
      </c>
    </row>
    <row r="46">
      <c r="A46" s="28">
        <f>Working_Data!A46</f>
        <v/>
      </c>
      <c r="B46" s="27">
        <f>Working_Data!B46</f>
        <v/>
      </c>
      <c r="C46" s="27">
        <f>Working_Data!C46</f>
        <v/>
      </c>
      <c r="D46" s="27">
        <f>Working_Data!D46</f>
        <v/>
      </c>
      <c r="E46" s="27">
        <f>Working_Data!E46</f>
        <v/>
      </c>
      <c r="F46" s="28">
        <f>Working_Data!P46</f>
        <v/>
      </c>
      <c r="G46" s="28">
        <f>Working_Data!Q46</f>
        <v/>
      </c>
      <c r="H46" s="28">
        <f>Working_Data!R46</f>
        <v/>
      </c>
      <c r="I46" s="28">
        <f>Working_Data!S46</f>
        <v/>
      </c>
      <c r="J46" s="28">
        <f>Working_Data!T46</f>
        <v/>
      </c>
    </row>
    <row r="47">
      <c r="A47" s="28">
        <f>Working_Data!A47</f>
        <v/>
      </c>
      <c r="B47" s="27">
        <f>Working_Data!B47</f>
        <v/>
      </c>
      <c r="C47" s="27">
        <f>Working_Data!C47</f>
        <v/>
      </c>
      <c r="D47" s="27">
        <f>Working_Data!D47</f>
        <v/>
      </c>
      <c r="E47" s="27">
        <f>Working_Data!E47</f>
        <v/>
      </c>
      <c r="F47" s="28">
        <f>Working_Data!P47</f>
        <v/>
      </c>
      <c r="G47" s="28">
        <f>Working_Data!Q47</f>
        <v/>
      </c>
      <c r="H47" s="28">
        <f>Working_Data!R47</f>
        <v/>
      </c>
      <c r="I47" s="28">
        <f>Working_Data!S47</f>
        <v/>
      </c>
      <c r="J47" s="28">
        <f>Working_Data!T47</f>
        <v/>
      </c>
    </row>
    <row r="48">
      <c r="A48" s="28">
        <f>Working_Data!A48</f>
        <v/>
      </c>
      <c r="B48" s="27">
        <f>Working_Data!B48</f>
        <v/>
      </c>
      <c r="C48" s="27">
        <f>Working_Data!C48</f>
        <v/>
      </c>
      <c r="D48" s="27">
        <f>Working_Data!D48</f>
        <v/>
      </c>
      <c r="E48" s="27">
        <f>Working_Data!E48</f>
        <v/>
      </c>
      <c r="F48" s="28">
        <f>Working_Data!P48</f>
        <v/>
      </c>
      <c r="G48" s="28">
        <f>Working_Data!Q48</f>
        <v/>
      </c>
      <c r="H48" s="28">
        <f>Working_Data!R48</f>
        <v/>
      </c>
      <c r="I48" s="28">
        <f>Working_Data!S48</f>
        <v/>
      </c>
      <c r="J48" s="28">
        <f>Working_Data!T48</f>
        <v/>
      </c>
    </row>
    <row r="49">
      <c r="A49" s="28">
        <f>Working_Data!A49</f>
        <v/>
      </c>
      <c r="B49" s="27">
        <f>Working_Data!B49</f>
        <v/>
      </c>
      <c r="C49" s="27">
        <f>Working_Data!C49</f>
        <v/>
      </c>
      <c r="D49" s="27">
        <f>Working_Data!D49</f>
        <v/>
      </c>
      <c r="E49" s="27">
        <f>Working_Data!E49</f>
        <v/>
      </c>
      <c r="F49" s="28">
        <f>Working_Data!P49</f>
        <v/>
      </c>
      <c r="G49" s="28">
        <f>Working_Data!Q49</f>
        <v/>
      </c>
      <c r="H49" s="28">
        <f>Working_Data!R49</f>
        <v/>
      </c>
      <c r="I49" s="28">
        <f>Working_Data!S49</f>
        <v/>
      </c>
      <c r="J49" s="28">
        <f>Working_Data!T49</f>
        <v/>
      </c>
    </row>
    <row r="50">
      <c r="A50" s="28">
        <f>Working_Data!A50</f>
        <v/>
      </c>
      <c r="B50" s="27">
        <f>Working_Data!B50</f>
        <v/>
      </c>
      <c r="C50" s="27">
        <f>Working_Data!C50</f>
        <v/>
      </c>
      <c r="D50" s="27">
        <f>Working_Data!D50</f>
        <v/>
      </c>
      <c r="E50" s="27">
        <f>Working_Data!E50</f>
        <v/>
      </c>
      <c r="F50" s="28">
        <f>Working_Data!P50</f>
        <v/>
      </c>
      <c r="G50" s="28">
        <f>Working_Data!Q50</f>
        <v/>
      </c>
      <c r="H50" s="28">
        <f>Working_Data!R50</f>
        <v/>
      </c>
      <c r="I50" s="28">
        <f>Working_Data!S50</f>
        <v/>
      </c>
      <c r="J50" s="28">
        <f>Working_Data!T50</f>
        <v/>
      </c>
    </row>
    <row r="51">
      <c r="A51" s="28">
        <f>Working_Data!A51</f>
        <v/>
      </c>
      <c r="B51" s="27">
        <f>Working_Data!B51</f>
        <v/>
      </c>
      <c r="C51" s="27">
        <f>Working_Data!C51</f>
        <v/>
      </c>
      <c r="D51" s="27">
        <f>Working_Data!D51</f>
        <v/>
      </c>
      <c r="E51" s="27">
        <f>Working_Data!E51</f>
        <v/>
      </c>
      <c r="F51" s="28">
        <f>Working_Data!P51</f>
        <v/>
      </c>
      <c r="G51" s="28">
        <f>Working_Data!Q51</f>
        <v/>
      </c>
      <c r="H51" s="28">
        <f>Working_Data!R51</f>
        <v/>
      </c>
      <c r="I51" s="28">
        <f>Working_Data!S51</f>
        <v/>
      </c>
      <c r="J51" s="28">
        <f>Working_Data!T51</f>
        <v/>
      </c>
    </row>
    <row r="52">
      <c r="A52" s="28">
        <f>Working_Data!A52</f>
        <v/>
      </c>
      <c r="B52" s="27">
        <f>Working_Data!B52</f>
        <v/>
      </c>
      <c r="C52" s="27">
        <f>Working_Data!C52</f>
        <v/>
      </c>
      <c r="D52" s="27">
        <f>Working_Data!D52</f>
        <v/>
      </c>
      <c r="E52" s="27">
        <f>Working_Data!E52</f>
        <v/>
      </c>
      <c r="F52" s="28">
        <f>Working_Data!P52</f>
        <v/>
      </c>
      <c r="G52" s="28">
        <f>Working_Data!Q52</f>
        <v/>
      </c>
      <c r="H52" s="28">
        <f>Working_Data!R52</f>
        <v/>
      </c>
      <c r="I52" s="28">
        <f>Working_Data!S52</f>
        <v/>
      </c>
      <c r="J52" s="28">
        <f>Working_Data!T52</f>
        <v/>
      </c>
    </row>
    <row r="53">
      <c r="A53" s="28">
        <f>Working_Data!A53</f>
        <v/>
      </c>
      <c r="B53" s="27">
        <f>Working_Data!B53</f>
        <v/>
      </c>
      <c r="C53" s="27">
        <f>Working_Data!C53</f>
        <v/>
      </c>
      <c r="D53" s="27">
        <f>Working_Data!D53</f>
        <v/>
      </c>
      <c r="E53" s="27">
        <f>Working_Data!E53</f>
        <v/>
      </c>
      <c r="F53" s="28">
        <f>Working_Data!P53</f>
        <v/>
      </c>
      <c r="G53" s="28">
        <f>Working_Data!Q53</f>
        <v/>
      </c>
      <c r="H53" s="28">
        <f>Working_Data!R53</f>
        <v/>
      </c>
      <c r="I53" s="28">
        <f>Working_Data!S53</f>
        <v/>
      </c>
      <c r="J53" s="28">
        <f>Working_Data!T53</f>
        <v/>
      </c>
    </row>
    <row r="54">
      <c r="A54" s="28">
        <f>Working_Data!A54</f>
        <v/>
      </c>
      <c r="B54" s="27">
        <f>Working_Data!B54</f>
        <v/>
      </c>
      <c r="C54" s="27">
        <f>Working_Data!C54</f>
        <v/>
      </c>
      <c r="D54" s="27">
        <f>Working_Data!D54</f>
        <v/>
      </c>
      <c r="E54" s="27">
        <f>Working_Data!E54</f>
        <v/>
      </c>
      <c r="F54" s="28">
        <f>Working_Data!P54</f>
        <v/>
      </c>
      <c r="G54" s="28">
        <f>Working_Data!Q54</f>
        <v/>
      </c>
      <c r="H54" s="28">
        <f>Working_Data!R54</f>
        <v/>
      </c>
      <c r="I54" s="28">
        <f>Working_Data!S54</f>
        <v/>
      </c>
      <c r="J54" s="28">
        <f>Working_Data!T54</f>
        <v/>
      </c>
    </row>
    <row r="55">
      <c r="A55" s="28">
        <f>Working_Data!A55</f>
        <v/>
      </c>
      <c r="B55" s="27">
        <f>Working_Data!B55</f>
        <v/>
      </c>
      <c r="C55" s="27">
        <f>Working_Data!C55</f>
        <v/>
      </c>
      <c r="D55" s="27">
        <f>Working_Data!D55</f>
        <v/>
      </c>
      <c r="E55" s="27">
        <f>Working_Data!E55</f>
        <v/>
      </c>
      <c r="F55" s="28">
        <f>Working_Data!P55</f>
        <v/>
      </c>
      <c r="G55" s="28">
        <f>Working_Data!Q55</f>
        <v/>
      </c>
      <c r="H55" s="28">
        <f>Working_Data!R55</f>
        <v/>
      </c>
      <c r="I55" s="28">
        <f>Working_Data!S55</f>
        <v/>
      </c>
      <c r="J55" s="28">
        <f>Working_Data!T55</f>
        <v/>
      </c>
    </row>
    <row r="56">
      <c r="A56" s="28">
        <f>Working_Data!A56</f>
        <v/>
      </c>
      <c r="B56" s="27">
        <f>Working_Data!B56</f>
        <v/>
      </c>
      <c r="C56" s="27">
        <f>Working_Data!C56</f>
        <v/>
      </c>
      <c r="D56" s="27">
        <f>Working_Data!D56</f>
        <v/>
      </c>
      <c r="E56" s="27">
        <f>Working_Data!E56</f>
        <v/>
      </c>
      <c r="F56" s="28">
        <f>Working_Data!P56</f>
        <v/>
      </c>
      <c r="G56" s="28">
        <f>Working_Data!Q56</f>
        <v/>
      </c>
      <c r="H56" s="28">
        <f>Working_Data!R56</f>
        <v/>
      </c>
      <c r="I56" s="28">
        <f>Working_Data!S56</f>
        <v/>
      </c>
      <c r="J56" s="28">
        <f>Working_Data!T56</f>
        <v/>
      </c>
    </row>
    <row r="57">
      <c r="A57" s="28">
        <f>Working_Data!A57</f>
        <v/>
      </c>
      <c r="B57" s="27">
        <f>Working_Data!B57</f>
        <v/>
      </c>
      <c r="C57" s="27">
        <f>Working_Data!C57</f>
        <v/>
      </c>
      <c r="D57" s="27">
        <f>Working_Data!D57</f>
        <v/>
      </c>
      <c r="E57" s="27">
        <f>Working_Data!E57</f>
        <v/>
      </c>
      <c r="F57" s="28">
        <f>Working_Data!P57</f>
        <v/>
      </c>
      <c r="G57" s="28">
        <f>Working_Data!Q57</f>
        <v/>
      </c>
      <c r="H57" s="28">
        <f>Working_Data!R57</f>
        <v/>
      </c>
      <c r="I57" s="28">
        <f>Working_Data!S57</f>
        <v/>
      </c>
      <c r="J57" s="28">
        <f>Working_Data!T57</f>
        <v/>
      </c>
    </row>
    <row r="58">
      <c r="A58" s="28">
        <f>Working_Data!A58</f>
        <v/>
      </c>
      <c r="B58" s="27">
        <f>Working_Data!B58</f>
        <v/>
      </c>
      <c r="C58" s="27">
        <f>Working_Data!C58</f>
        <v/>
      </c>
      <c r="D58" s="27">
        <f>Working_Data!D58</f>
        <v/>
      </c>
      <c r="E58" s="27">
        <f>Working_Data!E58</f>
        <v/>
      </c>
      <c r="F58" s="28">
        <f>Working_Data!P58</f>
        <v/>
      </c>
      <c r="G58" s="28">
        <f>Working_Data!Q58</f>
        <v/>
      </c>
      <c r="H58" s="28">
        <f>Working_Data!R58</f>
        <v/>
      </c>
      <c r="I58" s="28">
        <f>Working_Data!S58</f>
        <v/>
      </c>
      <c r="J58" s="28">
        <f>Working_Data!T58</f>
        <v/>
      </c>
    </row>
    <row r="59">
      <c r="A59" s="28">
        <f>Working_Data!A59</f>
        <v/>
      </c>
      <c r="B59" s="27">
        <f>Working_Data!B59</f>
        <v/>
      </c>
      <c r="C59" s="27">
        <f>Working_Data!C59</f>
        <v/>
      </c>
      <c r="D59" s="27">
        <f>Working_Data!D59</f>
        <v/>
      </c>
      <c r="E59" s="27">
        <f>Working_Data!E59</f>
        <v/>
      </c>
      <c r="F59" s="28">
        <f>Working_Data!P59</f>
        <v/>
      </c>
      <c r="G59" s="28">
        <f>Working_Data!Q59</f>
        <v/>
      </c>
      <c r="H59" s="28">
        <f>Working_Data!R59</f>
        <v/>
      </c>
      <c r="I59" s="28">
        <f>Working_Data!S59</f>
        <v/>
      </c>
      <c r="J59" s="28">
        <f>Working_Data!T59</f>
        <v/>
      </c>
    </row>
    <row r="60">
      <c r="A60" s="28">
        <f>Working_Data!A60</f>
        <v/>
      </c>
      <c r="B60" s="27">
        <f>Working_Data!B60</f>
        <v/>
      </c>
      <c r="C60" s="27">
        <f>Working_Data!C60</f>
        <v/>
      </c>
      <c r="D60" s="27">
        <f>Working_Data!D60</f>
        <v/>
      </c>
      <c r="E60" s="27">
        <f>Working_Data!E60</f>
        <v/>
      </c>
      <c r="F60" s="28">
        <f>Working_Data!P60</f>
        <v/>
      </c>
      <c r="G60" s="28">
        <f>Working_Data!Q60</f>
        <v/>
      </c>
      <c r="H60" s="28">
        <f>Working_Data!R60</f>
        <v/>
      </c>
      <c r="I60" s="28">
        <f>Working_Data!S60</f>
        <v/>
      </c>
      <c r="J60" s="28">
        <f>Working_Data!T60</f>
        <v/>
      </c>
    </row>
    <row r="61">
      <c r="A61" s="28">
        <f>Working_Data!A61</f>
        <v/>
      </c>
      <c r="B61" s="27">
        <f>Working_Data!B61</f>
        <v/>
      </c>
      <c r="C61" s="27">
        <f>Working_Data!C61</f>
        <v/>
      </c>
      <c r="D61" s="27">
        <f>Working_Data!D61</f>
        <v/>
      </c>
      <c r="E61" s="27">
        <f>Working_Data!E61</f>
        <v/>
      </c>
      <c r="F61" s="28">
        <f>Working_Data!P61</f>
        <v/>
      </c>
      <c r="G61" s="28">
        <f>Working_Data!Q61</f>
        <v/>
      </c>
      <c r="H61" s="28">
        <f>Working_Data!R61</f>
        <v/>
      </c>
      <c r="I61" s="28">
        <f>Working_Data!S61</f>
        <v/>
      </c>
      <c r="J61" s="28">
        <f>Working_Data!T61</f>
        <v/>
      </c>
    </row>
    <row r="62">
      <c r="A62" s="28">
        <f>Working_Data!A62</f>
        <v/>
      </c>
      <c r="B62" s="27">
        <f>Working_Data!B62</f>
        <v/>
      </c>
      <c r="C62" s="27">
        <f>Working_Data!C62</f>
        <v/>
      </c>
      <c r="D62" s="27">
        <f>Working_Data!D62</f>
        <v/>
      </c>
      <c r="E62" s="27">
        <f>Working_Data!E62</f>
        <v/>
      </c>
      <c r="F62" s="28">
        <f>Working_Data!P62</f>
        <v/>
      </c>
      <c r="G62" s="28">
        <f>Working_Data!Q62</f>
        <v/>
      </c>
      <c r="H62" s="28">
        <f>Working_Data!R62</f>
        <v/>
      </c>
      <c r="I62" s="28">
        <f>Working_Data!S62</f>
        <v/>
      </c>
      <c r="J62" s="28">
        <f>Working_Data!T62</f>
        <v/>
      </c>
    </row>
    <row r="63">
      <c r="A63" s="28">
        <f>Working_Data!A63</f>
        <v/>
      </c>
      <c r="B63" s="27">
        <f>Working_Data!B63</f>
        <v/>
      </c>
      <c r="C63" s="27">
        <f>Working_Data!C63</f>
        <v/>
      </c>
      <c r="D63" s="27">
        <f>Working_Data!D63</f>
        <v/>
      </c>
      <c r="E63" s="27">
        <f>Working_Data!E63</f>
        <v/>
      </c>
      <c r="F63" s="28">
        <f>Working_Data!P63</f>
        <v/>
      </c>
      <c r="G63" s="28">
        <f>Working_Data!Q63</f>
        <v/>
      </c>
      <c r="H63" s="28">
        <f>Working_Data!R63</f>
        <v/>
      </c>
      <c r="I63" s="28">
        <f>Working_Data!S63</f>
        <v/>
      </c>
      <c r="J63" s="28">
        <f>Working_Data!T63</f>
        <v/>
      </c>
    </row>
    <row r="64">
      <c r="A64" s="28">
        <f>Working_Data!A64</f>
        <v/>
      </c>
      <c r="B64" s="27">
        <f>Working_Data!B64</f>
        <v/>
      </c>
      <c r="C64" s="27">
        <f>Working_Data!C64</f>
        <v/>
      </c>
      <c r="D64" s="27">
        <f>Working_Data!D64</f>
        <v/>
      </c>
      <c r="E64" s="27">
        <f>Working_Data!E64</f>
        <v/>
      </c>
      <c r="F64" s="28">
        <f>Working_Data!P64</f>
        <v/>
      </c>
      <c r="G64" s="28">
        <f>Working_Data!Q64</f>
        <v/>
      </c>
      <c r="H64" s="28">
        <f>Working_Data!R64</f>
        <v/>
      </c>
      <c r="I64" s="28">
        <f>Working_Data!S64</f>
        <v/>
      </c>
      <c r="J64" s="28">
        <f>Working_Data!T64</f>
        <v/>
      </c>
    </row>
    <row r="65">
      <c r="A65" s="28">
        <f>Working_Data!A65</f>
        <v/>
      </c>
      <c r="B65" s="27">
        <f>Working_Data!B65</f>
        <v/>
      </c>
      <c r="C65" s="27">
        <f>Working_Data!C65</f>
        <v/>
      </c>
      <c r="D65" s="27">
        <f>Working_Data!D65</f>
        <v/>
      </c>
      <c r="E65" s="27">
        <f>Working_Data!E65</f>
        <v/>
      </c>
      <c r="F65" s="28">
        <f>Working_Data!P65</f>
        <v/>
      </c>
      <c r="G65" s="28">
        <f>Working_Data!Q65</f>
        <v/>
      </c>
      <c r="H65" s="28">
        <f>Working_Data!R65</f>
        <v/>
      </c>
      <c r="I65" s="28">
        <f>Working_Data!S65</f>
        <v/>
      </c>
      <c r="J65" s="28">
        <f>Working_Data!T65</f>
        <v/>
      </c>
    </row>
    <row r="66">
      <c r="A66" s="28">
        <f>Working_Data!A66</f>
        <v/>
      </c>
      <c r="B66" s="27">
        <f>Working_Data!B66</f>
        <v/>
      </c>
      <c r="C66" s="27">
        <f>Working_Data!C66</f>
        <v/>
      </c>
      <c r="D66" s="27">
        <f>Working_Data!D66</f>
        <v/>
      </c>
      <c r="E66" s="27">
        <f>Working_Data!E66</f>
        <v/>
      </c>
      <c r="F66" s="28">
        <f>Working_Data!P66</f>
        <v/>
      </c>
      <c r="G66" s="28">
        <f>Working_Data!Q66</f>
        <v/>
      </c>
      <c r="H66" s="28">
        <f>Working_Data!R66</f>
        <v/>
      </c>
      <c r="I66" s="28">
        <f>Working_Data!S66</f>
        <v/>
      </c>
      <c r="J66" s="28">
        <f>Working_Data!T66</f>
        <v/>
      </c>
    </row>
    <row r="67">
      <c r="A67" s="28">
        <f>Working_Data!A67</f>
        <v/>
      </c>
      <c r="B67" s="27">
        <f>Working_Data!B67</f>
        <v/>
      </c>
      <c r="C67" s="27">
        <f>Working_Data!C67</f>
        <v/>
      </c>
      <c r="D67" s="27">
        <f>Working_Data!D67</f>
        <v/>
      </c>
      <c r="E67" s="27">
        <f>Working_Data!E67</f>
        <v/>
      </c>
      <c r="F67" s="28">
        <f>Working_Data!P67</f>
        <v/>
      </c>
      <c r="G67" s="28">
        <f>Working_Data!Q67</f>
        <v/>
      </c>
      <c r="H67" s="28">
        <f>Working_Data!R67</f>
        <v/>
      </c>
      <c r="I67" s="28">
        <f>Working_Data!S67</f>
        <v/>
      </c>
      <c r="J67" s="28">
        <f>Working_Data!T67</f>
        <v/>
      </c>
    </row>
    <row r="68">
      <c r="A68" s="28">
        <f>Working_Data!A68</f>
        <v/>
      </c>
      <c r="B68" s="27">
        <f>Working_Data!B68</f>
        <v/>
      </c>
      <c r="C68" s="27">
        <f>Working_Data!C68</f>
        <v/>
      </c>
      <c r="D68" s="27">
        <f>Working_Data!D68</f>
        <v/>
      </c>
      <c r="E68" s="27">
        <f>Working_Data!E68</f>
        <v/>
      </c>
      <c r="F68" s="28">
        <f>Working_Data!P68</f>
        <v/>
      </c>
      <c r="G68" s="28">
        <f>Working_Data!Q68</f>
        <v/>
      </c>
      <c r="H68" s="28">
        <f>Working_Data!R68</f>
        <v/>
      </c>
      <c r="I68" s="28">
        <f>Working_Data!S68</f>
        <v/>
      </c>
      <c r="J68" s="28">
        <f>Working_Data!T68</f>
        <v/>
      </c>
    </row>
    <row r="69">
      <c r="A69" s="28">
        <f>Working_Data!A69</f>
        <v/>
      </c>
      <c r="B69" s="27">
        <f>Working_Data!B69</f>
        <v/>
      </c>
      <c r="C69" s="27">
        <f>Working_Data!C69</f>
        <v/>
      </c>
      <c r="D69" s="27">
        <f>Working_Data!D69</f>
        <v/>
      </c>
      <c r="E69" s="27">
        <f>Working_Data!E69</f>
        <v/>
      </c>
      <c r="F69" s="28">
        <f>Working_Data!P69</f>
        <v/>
      </c>
      <c r="G69" s="28">
        <f>Working_Data!Q69</f>
        <v/>
      </c>
      <c r="H69" s="28">
        <f>Working_Data!R69</f>
        <v/>
      </c>
      <c r="I69" s="28">
        <f>Working_Data!S69</f>
        <v/>
      </c>
      <c r="J69" s="28">
        <f>Working_Data!T69</f>
        <v/>
      </c>
    </row>
    <row r="70">
      <c r="A70" s="28">
        <f>Working_Data!A70</f>
        <v/>
      </c>
      <c r="B70" s="27">
        <f>Working_Data!B70</f>
        <v/>
      </c>
      <c r="C70" s="27">
        <f>Working_Data!C70</f>
        <v/>
      </c>
      <c r="D70" s="27">
        <f>Working_Data!D70</f>
        <v/>
      </c>
      <c r="E70" s="27">
        <f>Working_Data!E70</f>
        <v/>
      </c>
      <c r="F70" s="28">
        <f>Working_Data!P70</f>
        <v/>
      </c>
      <c r="G70" s="28">
        <f>Working_Data!Q70</f>
        <v/>
      </c>
      <c r="H70" s="28">
        <f>Working_Data!R70</f>
        <v/>
      </c>
      <c r="I70" s="28">
        <f>Working_Data!S70</f>
        <v/>
      </c>
      <c r="J70" s="28">
        <f>Working_Data!T70</f>
        <v/>
      </c>
    </row>
    <row r="71">
      <c r="A71" s="28">
        <f>Working_Data!A71</f>
        <v/>
      </c>
      <c r="B71" s="27">
        <f>Working_Data!B71</f>
        <v/>
      </c>
      <c r="C71" s="27">
        <f>Working_Data!C71</f>
        <v/>
      </c>
      <c r="D71" s="27">
        <f>Working_Data!D71</f>
        <v/>
      </c>
      <c r="E71" s="27">
        <f>Working_Data!E71</f>
        <v/>
      </c>
      <c r="F71" s="28">
        <f>Working_Data!P71</f>
        <v/>
      </c>
      <c r="G71" s="28">
        <f>Working_Data!Q71</f>
        <v/>
      </c>
      <c r="H71" s="28">
        <f>Working_Data!R71</f>
        <v/>
      </c>
      <c r="I71" s="28">
        <f>Working_Data!S71</f>
        <v/>
      </c>
      <c r="J71" s="28">
        <f>Working_Data!T71</f>
        <v/>
      </c>
    </row>
    <row r="72">
      <c r="A72" s="28">
        <f>Working_Data!A72</f>
        <v/>
      </c>
      <c r="B72" s="27">
        <f>Working_Data!B72</f>
        <v/>
      </c>
      <c r="C72" s="27">
        <f>Working_Data!C72</f>
        <v/>
      </c>
      <c r="D72" s="27">
        <f>Working_Data!D72</f>
        <v/>
      </c>
      <c r="E72" s="27">
        <f>Working_Data!E72</f>
        <v/>
      </c>
      <c r="F72" s="28">
        <f>Working_Data!P72</f>
        <v/>
      </c>
      <c r="G72" s="28">
        <f>Working_Data!Q72</f>
        <v/>
      </c>
      <c r="H72" s="28">
        <f>Working_Data!R72</f>
        <v/>
      </c>
      <c r="I72" s="28">
        <f>Working_Data!S72</f>
        <v/>
      </c>
      <c r="J72" s="28">
        <f>Working_Data!T72</f>
        <v/>
      </c>
    </row>
    <row r="73">
      <c r="A73" s="28">
        <f>Working_Data!A73</f>
        <v/>
      </c>
      <c r="B73" s="27">
        <f>Working_Data!B73</f>
        <v/>
      </c>
      <c r="C73" s="27">
        <f>Working_Data!C73</f>
        <v/>
      </c>
      <c r="D73" s="27">
        <f>Working_Data!D73</f>
        <v/>
      </c>
      <c r="E73" s="27">
        <f>Working_Data!E73</f>
        <v/>
      </c>
      <c r="F73" s="28">
        <f>Working_Data!P73</f>
        <v/>
      </c>
      <c r="G73" s="28">
        <f>Working_Data!Q73</f>
        <v/>
      </c>
      <c r="H73" s="28">
        <f>Working_Data!R73</f>
        <v/>
      </c>
      <c r="I73" s="28">
        <f>Working_Data!S73</f>
        <v/>
      </c>
      <c r="J73" s="28">
        <f>Working_Data!T73</f>
        <v/>
      </c>
    </row>
    <row r="74">
      <c r="A74" s="28">
        <f>Working_Data!A74</f>
        <v/>
      </c>
      <c r="B74" s="27">
        <f>Working_Data!B74</f>
        <v/>
      </c>
      <c r="C74" s="27">
        <f>Working_Data!C74</f>
        <v/>
      </c>
      <c r="D74" s="27">
        <f>Working_Data!D74</f>
        <v/>
      </c>
      <c r="E74" s="27">
        <f>Working_Data!E74</f>
        <v/>
      </c>
      <c r="F74" s="28">
        <f>Working_Data!P74</f>
        <v/>
      </c>
      <c r="G74" s="28">
        <f>Working_Data!Q74</f>
        <v/>
      </c>
      <c r="H74" s="28">
        <f>Working_Data!R74</f>
        <v/>
      </c>
      <c r="I74" s="28">
        <f>Working_Data!S74</f>
        <v/>
      </c>
      <c r="J74" s="28">
        <f>Working_Data!T74</f>
        <v/>
      </c>
    </row>
    <row r="75">
      <c r="A75" s="28">
        <f>Working_Data!A75</f>
        <v/>
      </c>
      <c r="B75" s="27">
        <f>Working_Data!B75</f>
        <v/>
      </c>
      <c r="C75" s="27">
        <f>Working_Data!C75</f>
        <v/>
      </c>
      <c r="D75" s="27">
        <f>Working_Data!D75</f>
        <v/>
      </c>
      <c r="E75" s="27">
        <f>Working_Data!E75</f>
        <v/>
      </c>
      <c r="F75" s="28">
        <f>Working_Data!P75</f>
        <v/>
      </c>
      <c r="G75" s="28">
        <f>Working_Data!Q75</f>
        <v/>
      </c>
      <c r="H75" s="28">
        <f>Working_Data!R75</f>
        <v/>
      </c>
      <c r="I75" s="28">
        <f>Working_Data!S75</f>
        <v/>
      </c>
      <c r="J75" s="28">
        <f>Working_Data!T75</f>
        <v/>
      </c>
    </row>
    <row r="76">
      <c r="A76" s="28">
        <f>Working_Data!A76</f>
        <v/>
      </c>
      <c r="B76" s="27">
        <f>Working_Data!B76</f>
        <v/>
      </c>
      <c r="C76" s="27">
        <f>Working_Data!C76</f>
        <v/>
      </c>
      <c r="D76" s="27">
        <f>Working_Data!D76</f>
        <v/>
      </c>
      <c r="E76" s="27">
        <f>Working_Data!E76</f>
        <v/>
      </c>
      <c r="F76" s="28">
        <f>Working_Data!P76</f>
        <v/>
      </c>
      <c r="G76" s="28">
        <f>Working_Data!Q76</f>
        <v/>
      </c>
      <c r="H76" s="28">
        <f>Working_Data!R76</f>
        <v/>
      </c>
      <c r="I76" s="28">
        <f>Working_Data!S76</f>
        <v/>
      </c>
      <c r="J76" s="28">
        <f>Working_Data!T76</f>
        <v/>
      </c>
    </row>
    <row r="77">
      <c r="A77" s="28">
        <f>Working_Data!A77</f>
        <v/>
      </c>
      <c r="B77" s="27">
        <f>Working_Data!B77</f>
        <v/>
      </c>
      <c r="C77" s="27">
        <f>Working_Data!C77</f>
        <v/>
      </c>
      <c r="D77" s="27">
        <f>Working_Data!D77</f>
        <v/>
      </c>
      <c r="E77" s="27">
        <f>Working_Data!E77</f>
        <v/>
      </c>
      <c r="F77" s="28">
        <f>Working_Data!P77</f>
        <v/>
      </c>
      <c r="G77" s="28">
        <f>Working_Data!Q77</f>
        <v/>
      </c>
      <c r="H77" s="28">
        <f>Working_Data!R77</f>
        <v/>
      </c>
      <c r="I77" s="28">
        <f>Working_Data!S77</f>
        <v/>
      </c>
      <c r="J77" s="28">
        <f>Working_Data!T77</f>
        <v/>
      </c>
    </row>
    <row r="78">
      <c r="A78" s="28">
        <f>Working_Data!A78</f>
        <v/>
      </c>
      <c r="B78" s="27">
        <f>Working_Data!B78</f>
        <v/>
      </c>
      <c r="C78" s="27">
        <f>Working_Data!C78</f>
        <v/>
      </c>
      <c r="D78" s="27">
        <f>Working_Data!D78</f>
        <v/>
      </c>
      <c r="E78" s="27">
        <f>Working_Data!E78</f>
        <v/>
      </c>
      <c r="F78" s="28">
        <f>Working_Data!P78</f>
        <v/>
      </c>
      <c r="G78" s="28">
        <f>Working_Data!Q78</f>
        <v/>
      </c>
      <c r="H78" s="28">
        <f>Working_Data!R78</f>
        <v/>
      </c>
      <c r="I78" s="28">
        <f>Working_Data!S78</f>
        <v/>
      </c>
      <c r="J78" s="28">
        <f>Working_Data!T78</f>
        <v/>
      </c>
    </row>
    <row r="79">
      <c r="A79" s="28">
        <f>Working_Data!A79</f>
        <v/>
      </c>
      <c r="B79" s="27">
        <f>Working_Data!B79</f>
        <v/>
      </c>
      <c r="C79" s="27">
        <f>Working_Data!C79</f>
        <v/>
      </c>
      <c r="D79" s="27">
        <f>Working_Data!D79</f>
        <v/>
      </c>
      <c r="E79" s="27">
        <f>Working_Data!E79</f>
        <v/>
      </c>
      <c r="F79" s="28">
        <f>Working_Data!P79</f>
        <v/>
      </c>
      <c r="G79" s="28">
        <f>Working_Data!Q79</f>
        <v/>
      </c>
      <c r="H79" s="28">
        <f>Working_Data!R79</f>
        <v/>
      </c>
      <c r="I79" s="28">
        <f>Working_Data!S79</f>
        <v/>
      </c>
      <c r="J79" s="28">
        <f>Working_Data!T79</f>
        <v/>
      </c>
    </row>
    <row r="80">
      <c r="A80" s="28">
        <f>Working_Data!A80</f>
        <v/>
      </c>
      <c r="B80" s="27">
        <f>Working_Data!B80</f>
        <v/>
      </c>
      <c r="C80" s="27">
        <f>Working_Data!C80</f>
        <v/>
      </c>
      <c r="D80" s="27">
        <f>Working_Data!D80</f>
        <v/>
      </c>
      <c r="E80" s="27">
        <f>Working_Data!E80</f>
        <v/>
      </c>
      <c r="F80" s="28">
        <f>Working_Data!P80</f>
        <v/>
      </c>
      <c r="G80" s="28">
        <f>Working_Data!Q80</f>
        <v/>
      </c>
      <c r="H80" s="28">
        <f>Working_Data!R80</f>
        <v/>
      </c>
      <c r="I80" s="28">
        <f>Working_Data!S80</f>
        <v/>
      </c>
      <c r="J80" s="28">
        <f>Working_Data!T80</f>
        <v/>
      </c>
    </row>
    <row r="81">
      <c r="A81" s="28">
        <f>Working_Data!A81</f>
        <v/>
      </c>
      <c r="B81" s="27">
        <f>Working_Data!B81</f>
        <v/>
      </c>
      <c r="C81" s="27">
        <f>Working_Data!C81</f>
        <v/>
      </c>
      <c r="D81" s="27">
        <f>Working_Data!D81</f>
        <v/>
      </c>
      <c r="E81" s="27">
        <f>Working_Data!E81</f>
        <v/>
      </c>
      <c r="F81" s="28">
        <f>Working_Data!P81</f>
        <v/>
      </c>
      <c r="G81" s="28">
        <f>Working_Data!Q81</f>
        <v/>
      </c>
      <c r="H81" s="28">
        <f>Working_Data!R81</f>
        <v/>
      </c>
      <c r="I81" s="28">
        <f>Working_Data!S81</f>
        <v/>
      </c>
      <c r="J81" s="28">
        <f>Working_Data!T81</f>
        <v/>
      </c>
    </row>
    <row r="82">
      <c r="A82" s="28">
        <f>Working_Data!A82</f>
        <v/>
      </c>
      <c r="B82" s="27">
        <f>Working_Data!B82</f>
        <v/>
      </c>
      <c r="C82" s="27">
        <f>Working_Data!C82</f>
        <v/>
      </c>
      <c r="D82" s="27">
        <f>Working_Data!D82</f>
        <v/>
      </c>
      <c r="E82" s="27">
        <f>Working_Data!E82</f>
        <v/>
      </c>
      <c r="F82" s="28">
        <f>Working_Data!P82</f>
        <v/>
      </c>
      <c r="G82" s="28">
        <f>Working_Data!Q82</f>
        <v/>
      </c>
      <c r="H82" s="28">
        <f>Working_Data!R82</f>
        <v/>
      </c>
      <c r="I82" s="28">
        <f>Working_Data!S82</f>
        <v/>
      </c>
      <c r="J82" s="28">
        <f>Working_Data!T82</f>
        <v/>
      </c>
    </row>
    <row r="83">
      <c r="A83" s="28">
        <f>Working_Data!A83</f>
        <v/>
      </c>
      <c r="B83" s="27">
        <f>Working_Data!B83</f>
        <v/>
      </c>
      <c r="C83" s="27">
        <f>Working_Data!C83</f>
        <v/>
      </c>
      <c r="D83" s="27">
        <f>Working_Data!D83</f>
        <v/>
      </c>
      <c r="E83" s="27">
        <f>Working_Data!E83</f>
        <v/>
      </c>
      <c r="F83" s="28">
        <f>Working_Data!P83</f>
        <v/>
      </c>
      <c r="G83" s="28">
        <f>Working_Data!Q83</f>
        <v/>
      </c>
      <c r="H83" s="28">
        <f>Working_Data!R83</f>
        <v/>
      </c>
      <c r="I83" s="28">
        <f>Working_Data!S83</f>
        <v/>
      </c>
      <c r="J83" s="28">
        <f>Working_Data!T83</f>
        <v/>
      </c>
    </row>
    <row r="84">
      <c r="A84" s="28">
        <f>Working_Data!A84</f>
        <v/>
      </c>
      <c r="B84" s="27">
        <f>Working_Data!B84</f>
        <v/>
      </c>
      <c r="C84" s="27">
        <f>Working_Data!C84</f>
        <v/>
      </c>
      <c r="D84" s="27">
        <f>Working_Data!D84</f>
        <v/>
      </c>
      <c r="E84" s="27">
        <f>Working_Data!E84</f>
        <v/>
      </c>
      <c r="F84" s="28">
        <f>Working_Data!P84</f>
        <v/>
      </c>
      <c r="G84" s="28">
        <f>Working_Data!Q84</f>
        <v/>
      </c>
      <c r="H84" s="28">
        <f>Working_Data!R84</f>
        <v/>
      </c>
      <c r="I84" s="28">
        <f>Working_Data!S84</f>
        <v/>
      </c>
      <c r="J84" s="28">
        <f>Working_Data!T84</f>
        <v/>
      </c>
    </row>
    <row r="85">
      <c r="A85" s="28">
        <f>Working_Data!A85</f>
        <v/>
      </c>
      <c r="B85" s="27">
        <f>Working_Data!B85</f>
        <v/>
      </c>
      <c r="C85" s="27">
        <f>Working_Data!C85</f>
        <v/>
      </c>
      <c r="D85" s="27">
        <f>Working_Data!D85</f>
        <v/>
      </c>
      <c r="E85" s="27">
        <f>Working_Data!E85</f>
        <v/>
      </c>
      <c r="F85" s="28">
        <f>Working_Data!P85</f>
        <v/>
      </c>
      <c r="G85" s="28">
        <f>Working_Data!Q85</f>
        <v/>
      </c>
      <c r="H85" s="28">
        <f>Working_Data!R85</f>
        <v/>
      </c>
      <c r="I85" s="28">
        <f>Working_Data!S85</f>
        <v/>
      </c>
      <c r="J85" s="28">
        <f>Working_Data!T85</f>
        <v/>
      </c>
    </row>
    <row r="86">
      <c r="A86" s="28">
        <f>Working_Data!A86</f>
        <v/>
      </c>
      <c r="B86" s="27">
        <f>Working_Data!B86</f>
        <v/>
      </c>
      <c r="C86" s="27">
        <f>Working_Data!C86</f>
        <v/>
      </c>
      <c r="D86" s="27">
        <f>Working_Data!D86</f>
        <v/>
      </c>
      <c r="E86" s="27">
        <f>Working_Data!E86</f>
        <v/>
      </c>
      <c r="F86" s="28">
        <f>Working_Data!P86</f>
        <v/>
      </c>
      <c r="G86" s="28">
        <f>Working_Data!Q86</f>
        <v/>
      </c>
      <c r="H86" s="28">
        <f>Working_Data!R86</f>
        <v/>
      </c>
      <c r="I86" s="28">
        <f>Working_Data!S86</f>
        <v/>
      </c>
      <c r="J86" s="28">
        <f>Working_Data!T86</f>
        <v/>
      </c>
    </row>
    <row r="87">
      <c r="A87" s="28">
        <f>Working_Data!A87</f>
        <v/>
      </c>
      <c r="B87" s="27">
        <f>Working_Data!B87</f>
        <v/>
      </c>
      <c r="C87" s="27">
        <f>Working_Data!C87</f>
        <v/>
      </c>
      <c r="D87" s="27">
        <f>Working_Data!D87</f>
        <v/>
      </c>
      <c r="E87" s="27">
        <f>Working_Data!E87</f>
        <v/>
      </c>
      <c r="F87" s="28">
        <f>Working_Data!P87</f>
        <v/>
      </c>
      <c r="G87" s="28">
        <f>Working_Data!Q87</f>
        <v/>
      </c>
      <c r="H87" s="28">
        <f>Working_Data!R87</f>
        <v/>
      </c>
      <c r="I87" s="28">
        <f>Working_Data!S87</f>
        <v/>
      </c>
      <c r="J87" s="28">
        <f>Working_Data!T87</f>
        <v/>
      </c>
    </row>
    <row r="88">
      <c r="A88" s="28">
        <f>Working_Data!A88</f>
        <v/>
      </c>
      <c r="B88" s="27">
        <f>Working_Data!B88</f>
        <v/>
      </c>
      <c r="C88" s="27">
        <f>Working_Data!C88</f>
        <v/>
      </c>
      <c r="D88" s="27">
        <f>Working_Data!D88</f>
        <v/>
      </c>
      <c r="E88" s="27">
        <f>Working_Data!E88</f>
        <v/>
      </c>
      <c r="F88" s="28">
        <f>Working_Data!P88</f>
        <v/>
      </c>
      <c r="G88" s="28">
        <f>Working_Data!Q88</f>
        <v/>
      </c>
      <c r="H88" s="28">
        <f>Working_Data!R88</f>
        <v/>
      </c>
      <c r="I88" s="28">
        <f>Working_Data!S88</f>
        <v/>
      </c>
      <c r="J88" s="28">
        <f>Working_Data!T88</f>
        <v/>
      </c>
    </row>
    <row r="89">
      <c r="A89" s="28">
        <f>Working_Data!A89</f>
        <v/>
      </c>
      <c r="B89" s="27">
        <f>Working_Data!B89</f>
        <v/>
      </c>
      <c r="C89" s="27">
        <f>Working_Data!C89</f>
        <v/>
      </c>
      <c r="D89" s="27">
        <f>Working_Data!D89</f>
        <v/>
      </c>
      <c r="E89" s="27">
        <f>Working_Data!E89</f>
        <v/>
      </c>
      <c r="F89" s="28">
        <f>Working_Data!P89</f>
        <v/>
      </c>
      <c r="G89" s="28">
        <f>Working_Data!Q89</f>
        <v/>
      </c>
      <c r="H89" s="28">
        <f>Working_Data!R89</f>
        <v/>
      </c>
      <c r="I89" s="28">
        <f>Working_Data!S89</f>
        <v/>
      </c>
      <c r="J89" s="28">
        <f>Working_Data!T89</f>
        <v/>
      </c>
    </row>
    <row r="90">
      <c r="A90" s="28">
        <f>Working_Data!A90</f>
        <v/>
      </c>
      <c r="B90" s="27">
        <f>Working_Data!B90</f>
        <v/>
      </c>
      <c r="C90" s="27">
        <f>Working_Data!C90</f>
        <v/>
      </c>
      <c r="D90" s="27">
        <f>Working_Data!D90</f>
        <v/>
      </c>
      <c r="E90" s="27">
        <f>Working_Data!E90</f>
        <v/>
      </c>
      <c r="F90" s="28">
        <f>Working_Data!P90</f>
        <v/>
      </c>
      <c r="G90" s="28">
        <f>Working_Data!Q90</f>
        <v/>
      </c>
      <c r="H90" s="28">
        <f>Working_Data!R90</f>
        <v/>
      </c>
      <c r="I90" s="28">
        <f>Working_Data!S90</f>
        <v/>
      </c>
      <c r="J90" s="28">
        <f>Working_Data!T90</f>
        <v/>
      </c>
    </row>
    <row r="91">
      <c r="A91" s="28">
        <f>Working_Data!A91</f>
        <v/>
      </c>
      <c r="B91" s="27">
        <f>Working_Data!B91</f>
        <v/>
      </c>
      <c r="C91" s="27">
        <f>Working_Data!C91</f>
        <v/>
      </c>
      <c r="D91" s="27">
        <f>Working_Data!D91</f>
        <v/>
      </c>
      <c r="E91" s="27">
        <f>Working_Data!E91</f>
        <v/>
      </c>
      <c r="F91" s="28">
        <f>Working_Data!P91</f>
        <v/>
      </c>
      <c r="G91" s="28">
        <f>Working_Data!Q91</f>
        <v/>
      </c>
      <c r="H91" s="28">
        <f>Working_Data!R91</f>
        <v/>
      </c>
      <c r="I91" s="28">
        <f>Working_Data!S91</f>
        <v/>
      </c>
      <c r="J91" s="28">
        <f>Working_Data!T91</f>
        <v/>
      </c>
    </row>
    <row r="92">
      <c r="A92" s="28">
        <f>Working_Data!A92</f>
        <v/>
      </c>
      <c r="B92" s="27">
        <f>Working_Data!B92</f>
        <v/>
      </c>
      <c r="C92" s="27">
        <f>Working_Data!C92</f>
        <v/>
      </c>
      <c r="D92" s="27">
        <f>Working_Data!D92</f>
        <v/>
      </c>
      <c r="E92" s="27">
        <f>Working_Data!E92</f>
        <v/>
      </c>
      <c r="F92" s="28">
        <f>Working_Data!P92</f>
        <v/>
      </c>
      <c r="G92" s="28">
        <f>Working_Data!Q92</f>
        <v/>
      </c>
      <c r="H92" s="28">
        <f>Working_Data!R92</f>
        <v/>
      </c>
      <c r="I92" s="28">
        <f>Working_Data!S92</f>
        <v/>
      </c>
      <c r="J92" s="28">
        <f>Working_Data!T92</f>
        <v/>
      </c>
    </row>
    <row r="93">
      <c r="A93" s="28">
        <f>Working_Data!A93</f>
        <v/>
      </c>
      <c r="B93" s="27">
        <f>Working_Data!B93</f>
        <v/>
      </c>
      <c r="C93" s="27">
        <f>Working_Data!C93</f>
        <v/>
      </c>
      <c r="D93" s="27">
        <f>Working_Data!D93</f>
        <v/>
      </c>
      <c r="E93" s="27">
        <f>Working_Data!E93</f>
        <v/>
      </c>
      <c r="F93" s="28">
        <f>Working_Data!P93</f>
        <v/>
      </c>
      <c r="G93" s="28">
        <f>Working_Data!Q93</f>
        <v/>
      </c>
      <c r="H93" s="28">
        <f>Working_Data!R93</f>
        <v/>
      </c>
      <c r="I93" s="28">
        <f>Working_Data!S93</f>
        <v/>
      </c>
      <c r="J93" s="28">
        <f>Working_Data!T93</f>
        <v/>
      </c>
    </row>
    <row r="94">
      <c r="A94" s="28">
        <f>Working_Data!A94</f>
        <v/>
      </c>
      <c r="B94" s="27">
        <f>Working_Data!B94</f>
        <v/>
      </c>
      <c r="C94" s="27">
        <f>Working_Data!C94</f>
        <v/>
      </c>
      <c r="D94" s="27">
        <f>Working_Data!D94</f>
        <v/>
      </c>
      <c r="E94" s="27">
        <f>Working_Data!E94</f>
        <v/>
      </c>
      <c r="F94" s="28">
        <f>Working_Data!P94</f>
        <v/>
      </c>
      <c r="G94" s="28">
        <f>Working_Data!Q94</f>
        <v/>
      </c>
      <c r="H94" s="28">
        <f>Working_Data!R94</f>
        <v/>
      </c>
      <c r="I94" s="28">
        <f>Working_Data!S94</f>
        <v/>
      </c>
      <c r="J94" s="28">
        <f>Working_Data!T94</f>
        <v/>
      </c>
    </row>
    <row r="95">
      <c r="A95" s="28">
        <f>Working_Data!A95</f>
        <v/>
      </c>
      <c r="B95" s="27">
        <f>Working_Data!B95</f>
        <v/>
      </c>
      <c r="C95" s="27">
        <f>Working_Data!C95</f>
        <v/>
      </c>
      <c r="D95" s="27">
        <f>Working_Data!D95</f>
        <v/>
      </c>
      <c r="E95" s="27">
        <f>Working_Data!E95</f>
        <v/>
      </c>
      <c r="F95" s="28">
        <f>Working_Data!P95</f>
        <v/>
      </c>
      <c r="G95" s="28">
        <f>Working_Data!Q95</f>
        <v/>
      </c>
      <c r="H95" s="28">
        <f>Working_Data!R95</f>
        <v/>
      </c>
      <c r="I95" s="28">
        <f>Working_Data!S95</f>
        <v/>
      </c>
      <c r="J95" s="28">
        <f>Working_Data!T95</f>
        <v/>
      </c>
    </row>
    <row r="96">
      <c r="A96" s="28">
        <f>Working_Data!A96</f>
        <v/>
      </c>
      <c r="B96" s="27">
        <f>Working_Data!B96</f>
        <v/>
      </c>
      <c r="C96" s="27">
        <f>Working_Data!C96</f>
        <v/>
      </c>
      <c r="D96" s="27">
        <f>Working_Data!D96</f>
        <v/>
      </c>
      <c r="E96" s="27">
        <f>Working_Data!E96</f>
        <v/>
      </c>
      <c r="F96" s="28">
        <f>Working_Data!P96</f>
        <v/>
      </c>
      <c r="G96" s="28">
        <f>Working_Data!Q96</f>
        <v/>
      </c>
      <c r="H96" s="28">
        <f>Working_Data!R96</f>
        <v/>
      </c>
      <c r="I96" s="28">
        <f>Working_Data!S96</f>
        <v/>
      </c>
      <c r="J96" s="28">
        <f>Working_Data!T96</f>
        <v/>
      </c>
    </row>
    <row r="97">
      <c r="A97" s="28">
        <f>Working_Data!A97</f>
        <v/>
      </c>
      <c r="B97" s="27">
        <f>Working_Data!B97</f>
        <v/>
      </c>
      <c r="C97" s="27">
        <f>Working_Data!C97</f>
        <v/>
      </c>
      <c r="D97" s="27">
        <f>Working_Data!D97</f>
        <v/>
      </c>
      <c r="E97" s="27">
        <f>Working_Data!E97</f>
        <v/>
      </c>
      <c r="F97" s="28">
        <f>Working_Data!P97</f>
        <v/>
      </c>
      <c r="G97" s="28">
        <f>Working_Data!Q97</f>
        <v/>
      </c>
      <c r="H97" s="28">
        <f>Working_Data!R97</f>
        <v/>
      </c>
      <c r="I97" s="28">
        <f>Working_Data!S97</f>
        <v/>
      </c>
      <c r="J97" s="28">
        <f>Working_Data!T97</f>
        <v/>
      </c>
    </row>
    <row r="98">
      <c r="A98" s="28">
        <f>Working_Data!A98</f>
        <v/>
      </c>
      <c r="B98" s="27">
        <f>Working_Data!B98</f>
        <v/>
      </c>
      <c r="C98" s="27">
        <f>Working_Data!C98</f>
        <v/>
      </c>
      <c r="D98" s="27">
        <f>Working_Data!D98</f>
        <v/>
      </c>
      <c r="E98" s="27">
        <f>Working_Data!E98</f>
        <v/>
      </c>
      <c r="F98" s="28">
        <f>Working_Data!P98</f>
        <v/>
      </c>
      <c r="G98" s="28">
        <f>Working_Data!Q98</f>
        <v/>
      </c>
      <c r="H98" s="28">
        <f>Working_Data!R98</f>
        <v/>
      </c>
      <c r="I98" s="28">
        <f>Working_Data!S98</f>
        <v/>
      </c>
      <c r="J98" s="28">
        <f>Working_Data!T98</f>
        <v/>
      </c>
    </row>
    <row r="99">
      <c r="A99" s="28">
        <f>Working_Data!A99</f>
        <v/>
      </c>
      <c r="B99" s="27">
        <f>Working_Data!B99</f>
        <v/>
      </c>
      <c r="C99" s="27">
        <f>Working_Data!C99</f>
        <v/>
      </c>
      <c r="D99" s="27">
        <f>Working_Data!D99</f>
        <v/>
      </c>
      <c r="E99" s="27">
        <f>Working_Data!E99</f>
        <v/>
      </c>
      <c r="F99" s="28">
        <f>Working_Data!P99</f>
        <v/>
      </c>
      <c r="G99" s="28">
        <f>Working_Data!Q99</f>
        <v/>
      </c>
      <c r="H99" s="28">
        <f>Working_Data!R99</f>
        <v/>
      </c>
      <c r="I99" s="28">
        <f>Working_Data!S99</f>
        <v/>
      </c>
      <c r="J99" s="28">
        <f>Working_Data!T99</f>
        <v/>
      </c>
    </row>
    <row r="100">
      <c r="A100" s="28">
        <f>Working_Data!A100</f>
        <v/>
      </c>
      <c r="B100" s="27">
        <f>Working_Data!B100</f>
        <v/>
      </c>
      <c r="C100" s="27">
        <f>Working_Data!C100</f>
        <v/>
      </c>
      <c r="D100" s="27">
        <f>Working_Data!D100</f>
        <v/>
      </c>
      <c r="E100" s="27">
        <f>Working_Data!E100</f>
        <v/>
      </c>
      <c r="F100" s="28">
        <f>Working_Data!P100</f>
        <v/>
      </c>
      <c r="G100" s="28">
        <f>Working_Data!Q100</f>
        <v/>
      </c>
      <c r="H100" s="28">
        <f>Working_Data!R100</f>
        <v/>
      </c>
      <c r="I100" s="28">
        <f>Working_Data!S100</f>
        <v/>
      </c>
      <c r="J100" s="28">
        <f>Working_Data!T100</f>
        <v/>
      </c>
    </row>
    <row r="101">
      <c r="A101" s="28">
        <f>Working_Data!A101</f>
        <v/>
      </c>
      <c r="B101" s="27">
        <f>Working_Data!B101</f>
        <v/>
      </c>
      <c r="C101" s="27">
        <f>Working_Data!C101</f>
        <v/>
      </c>
      <c r="D101" s="27">
        <f>Working_Data!D101</f>
        <v/>
      </c>
      <c r="E101" s="27">
        <f>Working_Data!E101</f>
        <v/>
      </c>
      <c r="F101" s="28">
        <f>Working_Data!P101</f>
        <v/>
      </c>
      <c r="G101" s="28">
        <f>Working_Data!Q101</f>
        <v/>
      </c>
      <c r="H101" s="28">
        <f>Working_Data!R101</f>
        <v/>
      </c>
      <c r="I101" s="28">
        <f>Working_Data!S101</f>
        <v/>
      </c>
      <c r="J101" s="28">
        <f>Working_Data!T101</f>
        <v/>
      </c>
    </row>
    <row r="102">
      <c r="A102" s="28">
        <f>Working_Data!A102</f>
        <v/>
      </c>
      <c r="B102" s="27">
        <f>Working_Data!B102</f>
        <v/>
      </c>
      <c r="C102" s="27">
        <f>Working_Data!C102</f>
        <v/>
      </c>
      <c r="D102" s="27">
        <f>Working_Data!D102</f>
        <v/>
      </c>
      <c r="E102" s="27">
        <f>Working_Data!E102</f>
        <v/>
      </c>
      <c r="F102" s="28">
        <f>Working_Data!P102</f>
        <v/>
      </c>
      <c r="G102" s="28">
        <f>Working_Data!Q102</f>
        <v/>
      </c>
      <c r="H102" s="28">
        <f>Working_Data!R102</f>
        <v/>
      </c>
      <c r="I102" s="28">
        <f>Working_Data!S102</f>
        <v/>
      </c>
      <c r="J102" s="28">
        <f>Working_Data!T102</f>
        <v/>
      </c>
    </row>
    <row r="103">
      <c r="A103" s="28">
        <f>Working_Data!A103</f>
        <v/>
      </c>
      <c r="B103" s="27">
        <f>Working_Data!B103</f>
        <v/>
      </c>
      <c r="C103" s="27">
        <f>Working_Data!C103</f>
        <v/>
      </c>
      <c r="D103" s="27">
        <f>Working_Data!D103</f>
        <v/>
      </c>
      <c r="E103" s="27">
        <f>Working_Data!E103</f>
        <v/>
      </c>
      <c r="F103" s="28">
        <f>Working_Data!P103</f>
        <v/>
      </c>
      <c r="G103" s="28">
        <f>Working_Data!Q103</f>
        <v/>
      </c>
      <c r="H103" s="28">
        <f>Working_Data!R103</f>
        <v/>
      </c>
      <c r="I103" s="28">
        <f>Working_Data!S103</f>
        <v/>
      </c>
      <c r="J103" s="28">
        <f>Working_Data!T103</f>
        <v/>
      </c>
    </row>
    <row r="104">
      <c r="A104" s="28">
        <f>Working_Data!A104</f>
        <v/>
      </c>
      <c r="B104" s="27">
        <f>Working_Data!B104</f>
        <v/>
      </c>
      <c r="C104" s="27">
        <f>Working_Data!C104</f>
        <v/>
      </c>
      <c r="D104" s="27">
        <f>Working_Data!D104</f>
        <v/>
      </c>
      <c r="E104" s="27">
        <f>Working_Data!E104</f>
        <v/>
      </c>
      <c r="F104" s="28">
        <f>Working_Data!P104</f>
        <v/>
      </c>
      <c r="G104" s="28">
        <f>Working_Data!Q104</f>
        <v/>
      </c>
      <c r="H104" s="28">
        <f>Working_Data!R104</f>
        <v/>
      </c>
      <c r="I104" s="28">
        <f>Working_Data!S104</f>
        <v/>
      </c>
      <c r="J104" s="28">
        <f>Working_Data!T104</f>
        <v/>
      </c>
    </row>
    <row r="105">
      <c r="A105" s="28">
        <f>Working_Data!A105</f>
        <v/>
      </c>
      <c r="B105" s="27">
        <f>Working_Data!B105</f>
        <v/>
      </c>
      <c r="C105" s="27">
        <f>Working_Data!C105</f>
        <v/>
      </c>
      <c r="D105" s="27">
        <f>Working_Data!D105</f>
        <v/>
      </c>
      <c r="E105" s="27">
        <f>Working_Data!E105</f>
        <v/>
      </c>
      <c r="F105" s="28">
        <f>Working_Data!P105</f>
        <v/>
      </c>
      <c r="G105" s="28">
        <f>Working_Data!Q105</f>
        <v/>
      </c>
      <c r="H105" s="28">
        <f>Working_Data!R105</f>
        <v/>
      </c>
      <c r="I105" s="28">
        <f>Working_Data!S105</f>
        <v/>
      </c>
      <c r="J105" s="28">
        <f>Working_Data!T105</f>
        <v/>
      </c>
    </row>
    <row r="106">
      <c r="A106" s="28">
        <f>Working_Data!A106</f>
        <v/>
      </c>
      <c r="B106" s="27">
        <f>Working_Data!B106</f>
        <v/>
      </c>
      <c r="C106" s="27">
        <f>Working_Data!C106</f>
        <v/>
      </c>
      <c r="D106" s="27">
        <f>Working_Data!D106</f>
        <v/>
      </c>
      <c r="E106" s="27">
        <f>Working_Data!E106</f>
        <v/>
      </c>
      <c r="F106" s="28">
        <f>Working_Data!P106</f>
        <v/>
      </c>
      <c r="G106" s="28">
        <f>Working_Data!Q106</f>
        <v/>
      </c>
      <c r="H106" s="28">
        <f>Working_Data!R106</f>
        <v/>
      </c>
      <c r="I106" s="28">
        <f>Working_Data!S106</f>
        <v/>
      </c>
      <c r="J106" s="28">
        <f>Working_Data!T106</f>
        <v/>
      </c>
    </row>
    <row r="107">
      <c r="A107" s="28">
        <f>Working_Data!A107</f>
        <v/>
      </c>
      <c r="B107" s="27">
        <f>Working_Data!B107</f>
        <v/>
      </c>
      <c r="C107" s="27">
        <f>Working_Data!C107</f>
        <v/>
      </c>
      <c r="D107" s="27">
        <f>Working_Data!D107</f>
        <v/>
      </c>
      <c r="E107" s="27">
        <f>Working_Data!E107</f>
        <v/>
      </c>
      <c r="F107" s="28">
        <f>Working_Data!P107</f>
        <v/>
      </c>
      <c r="G107" s="28">
        <f>Working_Data!Q107</f>
        <v/>
      </c>
      <c r="H107" s="28">
        <f>Working_Data!R107</f>
        <v/>
      </c>
      <c r="I107" s="28">
        <f>Working_Data!S107</f>
        <v/>
      </c>
      <c r="J107" s="28">
        <f>Working_Data!T107</f>
        <v/>
      </c>
    </row>
    <row r="108">
      <c r="A108" s="28">
        <f>Working_Data!A108</f>
        <v/>
      </c>
      <c r="B108" s="27">
        <f>Working_Data!B108</f>
        <v/>
      </c>
      <c r="C108" s="27">
        <f>Working_Data!C108</f>
        <v/>
      </c>
      <c r="D108" s="27">
        <f>Working_Data!D108</f>
        <v/>
      </c>
      <c r="E108" s="27">
        <f>Working_Data!E108</f>
        <v/>
      </c>
      <c r="F108" s="28">
        <f>Working_Data!P108</f>
        <v/>
      </c>
      <c r="G108" s="28">
        <f>Working_Data!Q108</f>
        <v/>
      </c>
      <c r="H108" s="28">
        <f>Working_Data!R108</f>
        <v/>
      </c>
      <c r="I108" s="28">
        <f>Working_Data!S108</f>
        <v/>
      </c>
      <c r="J108" s="28">
        <f>Working_Data!T108</f>
        <v/>
      </c>
    </row>
    <row r="109">
      <c r="A109" s="28">
        <f>Working_Data!A109</f>
        <v/>
      </c>
      <c r="B109" s="27">
        <f>Working_Data!B109</f>
        <v/>
      </c>
      <c r="C109" s="27">
        <f>Working_Data!C109</f>
        <v/>
      </c>
      <c r="D109" s="27">
        <f>Working_Data!D109</f>
        <v/>
      </c>
      <c r="E109" s="27">
        <f>Working_Data!E109</f>
        <v/>
      </c>
      <c r="F109" s="28">
        <f>Working_Data!P109</f>
        <v/>
      </c>
      <c r="G109" s="28">
        <f>Working_Data!Q109</f>
        <v/>
      </c>
      <c r="H109" s="28">
        <f>Working_Data!R109</f>
        <v/>
      </c>
      <c r="I109" s="28">
        <f>Working_Data!S109</f>
        <v/>
      </c>
      <c r="J109" s="28">
        <f>Working_Data!T109</f>
        <v/>
      </c>
    </row>
    <row r="110">
      <c r="A110" s="28">
        <f>Working_Data!A110</f>
        <v/>
      </c>
      <c r="B110" s="27">
        <f>Working_Data!B110</f>
        <v/>
      </c>
      <c r="C110" s="27">
        <f>Working_Data!C110</f>
        <v/>
      </c>
      <c r="D110" s="27">
        <f>Working_Data!D110</f>
        <v/>
      </c>
      <c r="E110" s="27">
        <f>Working_Data!E110</f>
        <v/>
      </c>
      <c r="F110" s="28">
        <f>Working_Data!P110</f>
        <v/>
      </c>
      <c r="G110" s="28">
        <f>Working_Data!Q110</f>
        <v/>
      </c>
      <c r="H110" s="28">
        <f>Working_Data!R110</f>
        <v/>
      </c>
      <c r="I110" s="28">
        <f>Working_Data!S110</f>
        <v/>
      </c>
      <c r="J110" s="28">
        <f>Working_Data!T110</f>
        <v/>
      </c>
    </row>
    <row r="111">
      <c r="A111" s="28">
        <f>Working_Data!A111</f>
        <v/>
      </c>
      <c r="B111" s="27">
        <f>Working_Data!B111</f>
        <v/>
      </c>
      <c r="C111" s="27">
        <f>Working_Data!C111</f>
        <v/>
      </c>
      <c r="D111" s="27">
        <f>Working_Data!D111</f>
        <v/>
      </c>
      <c r="E111" s="27">
        <f>Working_Data!E111</f>
        <v/>
      </c>
      <c r="F111" s="28">
        <f>Working_Data!P111</f>
        <v/>
      </c>
      <c r="G111" s="28">
        <f>Working_Data!Q111</f>
        <v/>
      </c>
      <c r="H111" s="28">
        <f>Working_Data!R111</f>
        <v/>
      </c>
      <c r="I111" s="28">
        <f>Working_Data!S111</f>
        <v/>
      </c>
      <c r="J111" s="28">
        <f>Working_Data!T111</f>
        <v/>
      </c>
    </row>
    <row r="112">
      <c r="A112" s="28">
        <f>Working_Data!A112</f>
        <v/>
      </c>
      <c r="B112" s="27">
        <f>Working_Data!B112</f>
        <v/>
      </c>
      <c r="C112" s="27">
        <f>Working_Data!C112</f>
        <v/>
      </c>
      <c r="D112" s="27">
        <f>Working_Data!D112</f>
        <v/>
      </c>
      <c r="E112" s="27">
        <f>Working_Data!E112</f>
        <v/>
      </c>
      <c r="F112" s="28">
        <f>Working_Data!P112</f>
        <v/>
      </c>
      <c r="G112" s="28">
        <f>Working_Data!Q112</f>
        <v/>
      </c>
      <c r="H112" s="28">
        <f>Working_Data!R112</f>
        <v/>
      </c>
      <c r="I112" s="28">
        <f>Working_Data!S112</f>
        <v/>
      </c>
      <c r="J112" s="28">
        <f>Working_Data!T112</f>
        <v/>
      </c>
    </row>
    <row r="113">
      <c r="A113" s="28">
        <f>Working_Data!A113</f>
        <v/>
      </c>
      <c r="B113" s="27">
        <f>Working_Data!B113</f>
        <v/>
      </c>
      <c r="C113" s="27">
        <f>Working_Data!C113</f>
        <v/>
      </c>
      <c r="D113" s="27">
        <f>Working_Data!D113</f>
        <v/>
      </c>
      <c r="E113" s="27">
        <f>Working_Data!E113</f>
        <v/>
      </c>
      <c r="F113" s="28">
        <f>Working_Data!P113</f>
        <v/>
      </c>
      <c r="G113" s="28">
        <f>Working_Data!Q113</f>
        <v/>
      </c>
      <c r="H113" s="28">
        <f>Working_Data!R113</f>
        <v/>
      </c>
      <c r="I113" s="28">
        <f>Working_Data!S113</f>
        <v/>
      </c>
      <c r="J113" s="28">
        <f>Working_Data!T113</f>
        <v/>
      </c>
    </row>
    <row r="114">
      <c r="A114" s="28">
        <f>Working_Data!A114</f>
        <v/>
      </c>
      <c r="B114" s="27">
        <f>Working_Data!B114</f>
        <v/>
      </c>
      <c r="C114" s="27">
        <f>Working_Data!C114</f>
        <v/>
      </c>
      <c r="D114" s="27">
        <f>Working_Data!D114</f>
        <v/>
      </c>
      <c r="E114" s="27">
        <f>Working_Data!E114</f>
        <v/>
      </c>
      <c r="F114" s="28">
        <f>Working_Data!P114</f>
        <v/>
      </c>
      <c r="G114" s="28">
        <f>Working_Data!Q114</f>
        <v/>
      </c>
      <c r="H114" s="28">
        <f>Working_Data!R114</f>
        <v/>
      </c>
      <c r="I114" s="28">
        <f>Working_Data!S114</f>
        <v/>
      </c>
      <c r="J114" s="28">
        <f>Working_Data!T114</f>
        <v/>
      </c>
    </row>
    <row r="115">
      <c r="A115" s="28">
        <f>Working_Data!A115</f>
        <v/>
      </c>
      <c r="B115" s="27">
        <f>Working_Data!B115</f>
        <v/>
      </c>
      <c r="C115" s="27">
        <f>Working_Data!C115</f>
        <v/>
      </c>
      <c r="D115" s="27">
        <f>Working_Data!D115</f>
        <v/>
      </c>
      <c r="E115" s="27">
        <f>Working_Data!E115</f>
        <v/>
      </c>
      <c r="F115" s="28">
        <f>Working_Data!P115</f>
        <v/>
      </c>
      <c r="G115" s="28">
        <f>Working_Data!Q115</f>
        <v/>
      </c>
      <c r="H115" s="28">
        <f>Working_Data!R115</f>
        <v/>
      </c>
      <c r="I115" s="28">
        <f>Working_Data!S115</f>
        <v/>
      </c>
      <c r="J115" s="28">
        <f>Working_Data!T115</f>
        <v/>
      </c>
    </row>
    <row r="116">
      <c r="A116" s="28">
        <f>Working_Data!A116</f>
        <v/>
      </c>
      <c r="B116" s="27">
        <f>Working_Data!B116</f>
        <v/>
      </c>
      <c r="C116" s="27">
        <f>Working_Data!C116</f>
        <v/>
      </c>
      <c r="D116" s="27">
        <f>Working_Data!D116</f>
        <v/>
      </c>
      <c r="E116" s="27">
        <f>Working_Data!E116</f>
        <v/>
      </c>
      <c r="F116" s="28">
        <f>Working_Data!P116</f>
        <v/>
      </c>
      <c r="G116" s="28">
        <f>Working_Data!Q116</f>
        <v/>
      </c>
      <c r="H116" s="28">
        <f>Working_Data!R116</f>
        <v/>
      </c>
      <c r="I116" s="28">
        <f>Working_Data!S116</f>
        <v/>
      </c>
      <c r="J116" s="28">
        <f>Working_Data!T116</f>
        <v/>
      </c>
    </row>
    <row r="117">
      <c r="A117" s="28">
        <f>Working_Data!A117</f>
        <v/>
      </c>
      <c r="B117" s="27">
        <f>Working_Data!B117</f>
        <v/>
      </c>
      <c r="C117" s="27">
        <f>Working_Data!C117</f>
        <v/>
      </c>
      <c r="D117" s="27">
        <f>Working_Data!D117</f>
        <v/>
      </c>
      <c r="E117" s="27">
        <f>Working_Data!E117</f>
        <v/>
      </c>
      <c r="F117" s="28">
        <f>Working_Data!P117</f>
        <v/>
      </c>
      <c r="G117" s="28">
        <f>Working_Data!Q117</f>
        <v/>
      </c>
      <c r="H117" s="28">
        <f>Working_Data!R117</f>
        <v/>
      </c>
      <c r="I117" s="28">
        <f>Working_Data!S117</f>
        <v/>
      </c>
      <c r="J117" s="28">
        <f>Working_Data!T117</f>
        <v/>
      </c>
    </row>
    <row r="118">
      <c r="A118" s="28">
        <f>Working_Data!A118</f>
        <v/>
      </c>
      <c r="B118" s="27">
        <f>Working_Data!B118</f>
        <v/>
      </c>
      <c r="C118" s="27">
        <f>Working_Data!C118</f>
        <v/>
      </c>
      <c r="D118" s="27">
        <f>Working_Data!D118</f>
        <v/>
      </c>
      <c r="E118" s="27">
        <f>Working_Data!E118</f>
        <v/>
      </c>
      <c r="F118" s="28">
        <f>Working_Data!P118</f>
        <v/>
      </c>
      <c r="G118" s="28">
        <f>Working_Data!Q118</f>
        <v/>
      </c>
      <c r="H118" s="28">
        <f>Working_Data!R118</f>
        <v/>
      </c>
      <c r="I118" s="28">
        <f>Working_Data!S118</f>
        <v/>
      </c>
      <c r="J118" s="28">
        <f>Working_Data!T118</f>
        <v/>
      </c>
    </row>
    <row r="119">
      <c r="A119" s="28">
        <f>Working_Data!A119</f>
        <v/>
      </c>
      <c r="B119" s="27">
        <f>Working_Data!B119</f>
        <v/>
      </c>
      <c r="C119" s="27">
        <f>Working_Data!C119</f>
        <v/>
      </c>
      <c r="D119" s="27">
        <f>Working_Data!D119</f>
        <v/>
      </c>
      <c r="E119" s="27">
        <f>Working_Data!E119</f>
        <v/>
      </c>
      <c r="F119" s="28">
        <f>Working_Data!P119</f>
        <v/>
      </c>
      <c r="G119" s="28">
        <f>Working_Data!Q119</f>
        <v/>
      </c>
      <c r="H119" s="28">
        <f>Working_Data!R119</f>
        <v/>
      </c>
      <c r="I119" s="28">
        <f>Working_Data!S119</f>
        <v/>
      </c>
      <c r="J119" s="28">
        <f>Working_Data!T119</f>
        <v/>
      </c>
    </row>
    <row r="120">
      <c r="A120" s="28">
        <f>Working_Data!A120</f>
        <v/>
      </c>
      <c r="B120" s="27">
        <f>Working_Data!B120</f>
        <v/>
      </c>
      <c r="C120" s="27">
        <f>Working_Data!C120</f>
        <v/>
      </c>
      <c r="D120" s="27">
        <f>Working_Data!D120</f>
        <v/>
      </c>
      <c r="E120" s="27">
        <f>Working_Data!E120</f>
        <v/>
      </c>
      <c r="F120" s="28">
        <f>Working_Data!P120</f>
        <v/>
      </c>
      <c r="G120" s="28">
        <f>Working_Data!Q120</f>
        <v/>
      </c>
      <c r="H120" s="28">
        <f>Working_Data!R120</f>
        <v/>
      </c>
      <c r="I120" s="28">
        <f>Working_Data!S120</f>
        <v/>
      </c>
      <c r="J120" s="28">
        <f>Working_Data!T120</f>
        <v/>
      </c>
    </row>
    <row r="121">
      <c r="A121" s="28">
        <f>Working_Data!A121</f>
        <v/>
      </c>
      <c r="B121" s="27">
        <f>Working_Data!B121</f>
        <v/>
      </c>
      <c r="C121" s="27">
        <f>Working_Data!C121</f>
        <v/>
      </c>
      <c r="D121" s="27">
        <f>Working_Data!D121</f>
        <v/>
      </c>
      <c r="E121" s="27">
        <f>Working_Data!E121</f>
        <v/>
      </c>
      <c r="F121" s="28">
        <f>Working_Data!P121</f>
        <v/>
      </c>
      <c r="G121" s="28">
        <f>Working_Data!Q121</f>
        <v/>
      </c>
      <c r="H121" s="28">
        <f>Working_Data!R121</f>
        <v/>
      </c>
      <c r="I121" s="28">
        <f>Working_Data!S121</f>
        <v/>
      </c>
      <c r="J121" s="28">
        <f>Working_Data!T121</f>
        <v/>
      </c>
    </row>
    <row r="122">
      <c r="A122" s="28">
        <f>Working_Data!A122</f>
        <v/>
      </c>
      <c r="B122" s="27">
        <f>Working_Data!B122</f>
        <v/>
      </c>
      <c r="C122" s="27">
        <f>Working_Data!C122</f>
        <v/>
      </c>
      <c r="D122" s="27">
        <f>Working_Data!D122</f>
        <v/>
      </c>
      <c r="E122" s="27">
        <f>Working_Data!E122</f>
        <v/>
      </c>
      <c r="F122" s="28">
        <f>Working_Data!P122</f>
        <v/>
      </c>
      <c r="G122" s="28">
        <f>Working_Data!Q122</f>
        <v/>
      </c>
      <c r="H122" s="28">
        <f>Working_Data!R122</f>
        <v/>
      </c>
      <c r="I122" s="28">
        <f>Working_Data!S122</f>
        <v/>
      </c>
      <c r="J122" s="28">
        <f>Working_Data!T122</f>
        <v/>
      </c>
    </row>
    <row r="123">
      <c r="A123" s="28">
        <f>Working_Data!A123</f>
        <v/>
      </c>
      <c r="B123" s="27">
        <f>Working_Data!B123</f>
        <v/>
      </c>
      <c r="C123" s="27">
        <f>Working_Data!C123</f>
        <v/>
      </c>
      <c r="D123" s="27">
        <f>Working_Data!D123</f>
        <v/>
      </c>
      <c r="E123" s="27">
        <f>Working_Data!E123</f>
        <v/>
      </c>
      <c r="F123" s="28">
        <f>Working_Data!P123</f>
        <v/>
      </c>
      <c r="G123" s="28">
        <f>Working_Data!Q123</f>
        <v/>
      </c>
      <c r="H123" s="28">
        <f>Working_Data!R123</f>
        <v/>
      </c>
      <c r="I123" s="28">
        <f>Working_Data!S123</f>
        <v/>
      </c>
      <c r="J123" s="28">
        <f>Working_Data!T123</f>
        <v/>
      </c>
    </row>
    <row r="124">
      <c r="A124" s="28">
        <f>Working_Data!A124</f>
        <v/>
      </c>
      <c r="B124" s="27">
        <f>Working_Data!B124</f>
        <v/>
      </c>
      <c r="C124" s="27">
        <f>Working_Data!C124</f>
        <v/>
      </c>
      <c r="D124" s="27">
        <f>Working_Data!D124</f>
        <v/>
      </c>
      <c r="E124" s="27">
        <f>Working_Data!E124</f>
        <v/>
      </c>
      <c r="F124" s="28">
        <f>Working_Data!P124</f>
        <v/>
      </c>
      <c r="G124" s="28">
        <f>Working_Data!Q124</f>
        <v/>
      </c>
      <c r="H124" s="28">
        <f>Working_Data!R124</f>
        <v/>
      </c>
      <c r="I124" s="28">
        <f>Working_Data!S124</f>
        <v/>
      </c>
      <c r="J124" s="28">
        <f>Working_Data!T124</f>
        <v/>
      </c>
    </row>
    <row r="125">
      <c r="A125" s="28">
        <f>Working_Data!A125</f>
        <v/>
      </c>
      <c r="B125" s="27">
        <f>Working_Data!B125</f>
        <v/>
      </c>
      <c r="C125" s="27">
        <f>Working_Data!C125</f>
        <v/>
      </c>
      <c r="D125" s="27">
        <f>Working_Data!D125</f>
        <v/>
      </c>
      <c r="E125" s="27">
        <f>Working_Data!E125</f>
        <v/>
      </c>
      <c r="F125" s="28">
        <f>Working_Data!P125</f>
        <v/>
      </c>
      <c r="G125" s="28">
        <f>Working_Data!Q125</f>
        <v/>
      </c>
      <c r="H125" s="28">
        <f>Working_Data!R125</f>
        <v/>
      </c>
      <c r="I125" s="28">
        <f>Working_Data!S125</f>
        <v/>
      </c>
      <c r="J125" s="28">
        <f>Working_Data!T125</f>
        <v/>
      </c>
    </row>
    <row r="126">
      <c r="A126" s="28">
        <f>Working_Data!A126</f>
        <v/>
      </c>
      <c r="B126" s="27">
        <f>Working_Data!B126</f>
        <v/>
      </c>
      <c r="C126" s="27">
        <f>Working_Data!C126</f>
        <v/>
      </c>
      <c r="D126" s="27">
        <f>Working_Data!D126</f>
        <v/>
      </c>
      <c r="E126" s="27">
        <f>Working_Data!E126</f>
        <v/>
      </c>
      <c r="F126" s="28">
        <f>Working_Data!P126</f>
        <v/>
      </c>
      <c r="G126" s="28">
        <f>Working_Data!Q126</f>
        <v/>
      </c>
      <c r="H126" s="28">
        <f>Working_Data!R126</f>
        <v/>
      </c>
      <c r="I126" s="28">
        <f>Working_Data!S126</f>
        <v/>
      </c>
      <c r="J126" s="28">
        <f>Working_Data!T126</f>
        <v/>
      </c>
    </row>
    <row r="127">
      <c r="A127" s="28">
        <f>Working_Data!A127</f>
        <v/>
      </c>
      <c r="B127" s="27">
        <f>Working_Data!B127</f>
        <v/>
      </c>
      <c r="C127" s="27">
        <f>Working_Data!C127</f>
        <v/>
      </c>
      <c r="D127" s="27">
        <f>Working_Data!D127</f>
        <v/>
      </c>
      <c r="E127" s="27">
        <f>Working_Data!E127</f>
        <v/>
      </c>
      <c r="F127" s="28">
        <f>Working_Data!P127</f>
        <v/>
      </c>
      <c r="G127" s="28">
        <f>Working_Data!Q127</f>
        <v/>
      </c>
      <c r="H127" s="28">
        <f>Working_Data!R127</f>
        <v/>
      </c>
      <c r="I127" s="28">
        <f>Working_Data!S127</f>
        <v/>
      </c>
      <c r="J127" s="28">
        <f>Working_Data!T127</f>
        <v/>
      </c>
    </row>
    <row r="128">
      <c r="A128" s="28">
        <f>Working_Data!A128</f>
        <v/>
      </c>
      <c r="B128" s="27">
        <f>Working_Data!B128</f>
        <v/>
      </c>
      <c r="C128" s="27">
        <f>Working_Data!C128</f>
        <v/>
      </c>
      <c r="D128" s="27">
        <f>Working_Data!D128</f>
        <v/>
      </c>
      <c r="E128" s="27">
        <f>Working_Data!E128</f>
        <v/>
      </c>
      <c r="F128" s="28">
        <f>Working_Data!P128</f>
        <v/>
      </c>
      <c r="G128" s="28">
        <f>Working_Data!Q128</f>
        <v/>
      </c>
      <c r="H128" s="28">
        <f>Working_Data!R128</f>
        <v/>
      </c>
      <c r="I128" s="28">
        <f>Working_Data!S128</f>
        <v/>
      </c>
      <c r="J128" s="28">
        <f>Working_Data!T128</f>
        <v/>
      </c>
    </row>
    <row r="129">
      <c r="A129" s="28">
        <f>Working_Data!A129</f>
        <v/>
      </c>
      <c r="B129" s="27">
        <f>Working_Data!B129</f>
        <v/>
      </c>
      <c r="C129" s="27">
        <f>Working_Data!C129</f>
        <v/>
      </c>
      <c r="D129" s="27">
        <f>Working_Data!D129</f>
        <v/>
      </c>
      <c r="E129" s="27">
        <f>Working_Data!E129</f>
        <v/>
      </c>
      <c r="F129" s="28">
        <f>Working_Data!P129</f>
        <v/>
      </c>
      <c r="G129" s="28">
        <f>Working_Data!Q129</f>
        <v/>
      </c>
      <c r="H129" s="28">
        <f>Working_Data!R129</f>
        <v/>
      </c>
      <c r="I129" s="28">
        <f>Working_Data!S129</f>
        <v/>
      </c>
      <c r="J129" s="28">
        <f>Working_Data!T129</f>
        <v/>
      </c>
    </row>
    <row r="130">
      <c r="A130" s="28">
        <f>Working_Data!A130</f>
        <v/>
      </c>
      <c r="B130" s="27">
        <f>Working_Data!B130</f>
        <v/>
      </c>
      <c r="C130" s="27">
        <f>Working_Data!C130</f>
        <v/>
      </c>
      <c r="D130" s="27">
        <f>Working_Data!D130</f>
        <v/>
      </c>
      <c r="E130" s="27">
        <f>Working_Data!E130</f>
        <v/>
      </c>
      <c r="F130" s="28">
        <f>Working_Data!P130</f>
        <v/>
      </c>
      <c r="G130" s="28">
        <f>Working_Data!Q130</f>
        <v/>
      </c>
      <c r="H130" s="28">
        <f>Working_Data!R130</f>
        <v/>
      </c>
      <c r="I130" s="28">
        <f>Working_Data!S130</f>
        <v/>
      </c>
      <c r="J130" s="28">
        <f>Working_Data!T130</f>
        <v/>
      </c>
    </row>
    <row r="131">
      <c r="A131" s="28">
        <f>Working_Data!A131</f>
        <v/>
      </c>
      <c r="B131" s="27">
        <f>Working_Data!B131</f>
        <v/>
      </c>
      <c r="C131" s="27">
        <f>Working_Data!C131</f>
        <v/>
      </c>
      <c r="D131" s="27">
        <f>Working_Data!D131</f>
        <v/>
      </c>
      <c r="E131" s="27">
        <f>Working_Data!E131</f>
        <v/>
      </c>
      <c r="F131" s="28">
        <f>Working_Data!P131</f>
        <v/>
      </c>
      <c r="G131" s="28">
        <f>Working_Data!Q131</f>
        <v/>
      </c>
      <c r="H131" s="28">
        <f>Working_Data!R131</f>
        <v/>
      </c>
      <c r="I131" s="28">
        <f>Working_Data!S131</f>
        <v/>
      </c>
      <c r="J131" s="28">
        <f>Working_Data!T131</f>
        <v/>
      </c>
    </row>
    <row r="132">
      <c r="A132" s="28">
        <f>Working_Data!A132</f>
        <v/>
      </c>
      <c r="B132" s="27">
        <f>Working_Data!B132</f>
        <v/>
      </c>
      <c r="C132" s="27">
        <f>Working_Data!C132</f>
        <v/>
      </c>
      <c r="D132" s="27">
        <f>Working_Data!D132</f>
        <v/>
      </c>
      <c r="E132" s="27">
        <f>Working_Data!E132</f>
        <v/>
      </c>
      <c r="F132" s="28">
        <f>Working_Data!P132</f>
        <v/>
      </c>
      <c r="G132" s="28">
        <f>Working_Data!Q132</f>
        <v/>
      </c>
      <c r="H132" s="28">
        <f>Working_Data!R132</f>
        <v/>
      </c>
      <c r="I132" s="28">
        <f>Working_Data!S132</f>
        <v/>
      </c>
      <c r="J132" s="28">
        <f>Working_Data!T132</f>
        <v/>
      </c>
    </row>
    <row r="133">
      <c r="A133" s="28">
        <f>Working_Data!A133</f>
        <v/>
      </c>
      <c r="B133" s="27">
        <f>Working_Data!B133</f>
        <v/>
      </c>
      <c r="C133" s="27">
        <f>Working_Data!C133</f>
        <v/>
      </c>
      <c r="D133" s="27">
        <f>Working_Data!D133</f>
        <v/>
      </c>
      <c r="E133" s="27">
        <f>Working_Data!E133</f>
        <v/>
      </c>
      <c r="F133" s="28">
        <f>Working_Data!P133</f>
        <v/>
      </c>
      <c r="G133" s="28">
        <f>Working_Data!Q133</f>
        <v/>
      </c>
      <c r="H133" s="28">
        <f>Working_Data!R133</f>
        <v/>
      </c>
      <c r="I133" s="28">
        <f>Working_Data!S133</f>
        <v/>
      </c>
      <c r="J133" s="28">
        <f>Working_Data!T133</f>
        <v/>
      </c>
    </row>
    <row r="134">
      <c r="A134" s="28">
        <f>Working_Data!A134</f>
        <v/>
      </c>
      <c r="B134" s="27">
        <f>Working_Data!B134</f>
        <v/>
      </c>
      <c r="C134" s="27">
        <f>Working_Data!C134</f>
        <v/>
      </c>
      <c r="D134" s="27">
        <f>Working_Data!D134</f>
        <v/>
      </c>
      <c r="E134" s="27">
        <f>Working_Data!E134</f>
        <v/>
      </c>
      <c r="F134" s="28">
        <f>Working_Data!P134</f>
        <v/>
      </c>
      <c r="G134" s="28">
        <f>Working_Data!Q134</f>
        <v/>
      </c>
      <c r="H134" s="28">
        <f>Working_Data!R134</f>
        <v/>
      </c>
      <c r="I134" s="28">
        <f>Working_Data!S134</f>
        <v/>
      </c>
      <c r="J134" s="28">
        <f>Working_Data!T134</f>
        <v/>
      </c>
    </row>
    <row r="135">
      <c r="A135" s="28">
        <f>Working_Data!A135</f>
        <v/>
      </c>
      <c r="B135" s="27">
        <f>Working_Data!B135</f>
        <v/>
      </c>
      <c r="C135" s="27">
        <f>Working_Data!C135</f>
        <v/>
      </c>
      <c r="D135" s="27">
        <f>Working_Data!D135</f>
        <v/>
      </c>
      <c r="E135" s="27">
        <f>Working_Data!E135</f>
        <v/>
      </c>
      <c r="F135" s="28">
        <f>Working_Data!P135</f>
        <v/>
      </c>
      <c r="G135" s="28">
        <f>Working_Data!Q135</f>
        <v/>
      </c>
      <c r="H135" s="28">
        <f>Working_Data!R135</f>
        <v/>
      </c>
      <c r="I135" s="28">
        <f>Working_Data!S135</f>
        <v/>
      </c>
      <c r="J135" s="28">
        <f>Working_Data!T135</f>
        <v/>
      </c>
    </row>
    <row r="136">
      <c r="A136" s="28">
        <f>Working_Data!A136</f>
        <v/>
      </c>
      <c r="B136" s="27">
        <f>Working_Data!B136</f>
        <v/>
      </c>
      <c r="C136" s="27">
        <f>Working_Data!C136</f>
        <v/>
      </c>
      <c r="D136" s="27">
        <f>Working_Data!D136</f>
        <v/>
      </c>
      <c r="E136" s="27">
        <f>Working_Data!E136</f>
        <v/>
      </c>
      <c r="F136" s="28">
        <f>Working_Data!P136</f>
        <v/>
      </c>
      <c r="G136" s="28">
        <f>Working_Data!Q136</f>
        <v/>
      </c>
      <c r="H136" s="28">
        <f>Working_Data!R136</f>
        <v/>
      </c>
      <c r="I136" s="28">
        <f>Working_Data!S136</f>
        <v/>
      </c>
      <c r="J136" s="28">
        <f>Working_Data!T136</f>
        <v/>
      </c>
    </row>
    <row r="137">
      <c r="A137" s="28">
        <f>Working_Data!A137</f>
        <v/>
      </c>
      <c r="B137" s="27">
        <f>Working_Data!B137</f>
        <v/>
      </c>
      <c r="C137" s="27">
        <f>Working_Data!C137</f>
        <v/>
      </c>
      <c r="D137" s="27">
        <f>Working_Data!D137</f>
        <v/>
      </c>
      <c r="E137" s="27">
        <f>Working_Data!E137</f>
        <v/>
      </c>
      <c r="F137" s="28">
        <f>Working_Data!P137</f>
        <v/>
      </c>
      <c r="G137" s="28">
        <f>Working_Data!Q137</f>
        <v/>
      </c>
      <c r="H137" s="28">
        <f>Working_Data!R137</f>
        <v/>
      </c>
      <c r="I137" s="28">
        <f>Working_Data!S137</f>
        <v/>
      </c>
      <c r="J137" s="28">
        <f>Working_Data!T137</f>
        <v/>
      </c>
    </row>
    <row r="138">
      <c r="A138" s="28">
        <f>Working_Data!A138</f>
        <v/>
      </c>
      <c r="B138" s="27">
        <f>Working_Data!B138</f>
        <v/>
      </c>
      <c r="C138" s="27">
        <f>Working_Data!C138</f>
        <v/>
      </c>
      <c r="D138" s="27">
        <f>Working_Data!D138</f>
        <v/>
      </c>
      <c r="E138" s="27">
        <f>Working_Data!E138</f>
        <v/>
      </c>
      <c r="F138" s="28">
        <f>Working_Data!P138</f>
        <v/>
      </c>
      <c r="G138" s="28">
        <f>Working_Data!Q138</f>
        <v/>
      </c>
      <c r="H138" s="28">
        <f>Working_Data!R138</f>
        <v/>
      </c>
      <c r="I138" s="28">
        <f>Working_Data!S138</f>
        <v/>
      </c>
      <c r="J138" s="28">
        <f>Working_Data!T138</f>
        <v/>
      </c>
    </row>
    <row r="139">
      <c r="A139" s="28">
        <f>Working_Data!A139</f>
        <v/>
      </c>
      <c r="B139" s="27">
        <f>Working_Data!B139</f>
        <v/>
      </c>
      <c r="C139" s="27">
        <f>Working_Data!C139</f>
        <v/>
      </c>
      <c r="D139" s="27">
        <f>Working_Data!D139</f>
        <v/>
      </c>
      <c r="E139" s="27">
        <f>Working_Data!E139</f>
        <v/>
      </c>
      <c r="F139" s="28">
        <f>Working_Data!P139</f>
        <v/>
      </c>
      <c r="G139" s="28">
        <f>Working_Data!Q139</f>
        <v/>
      </c>
      <c r="H139" s="28">
        <f>Working_Data!R139</f>
        <v/>
      </c>
      <c r="I139" s="28">
        <f>Working_Data!S139</f>
        <v/>
      </c>
      <c r="J139" s="28">
        <f>Working_Data!T139</f>
        <v/>
      </c>
    </row>
    <row r="140">
      <c r="A140" s="28">
        <f>Working_Data!A140</f>
        <v/>
      </c>
      <c r="B140" s="27">
        <f>Working_Data!B140</f>
        <v/>
      </c>
      <c r="C140" s="27">
        <f>Working_Data!C140</f>
        <v/>
      </c>
      <c r="D140" s="27">
        <f>Working_Data!D140</f>
        <v/>
      </c>
      <c r="E140" s="27">
        <f>Working_Data!E140</f>
        <v/>
      </c>
      <c r="F140" s="28">
        <f>Working_Data!P140</f>
        <v/>
      </c>
      <c r="G140" s="28">
        <f>Working_Data!Q140</f>
        <v/>
      </c>
      <c r="H140" s="28">
        <f>Working_Data!R140</f>
        <v/>
      </c>
      <c r="I140" s="28">
        <f>Working_Data!S140</f>
        <v/>
      </c>
      <c r="J140" s="28">
        <f>Working_Data!T140</f>
        <v/>
      </c>
    </row>
    <row r="141">
      <c r="A141" s="28">
        <f>Working_Data!A141</f>
        <v/>
      </c>
      <c r="B141" s="27">
        <f>Working_Data!B141</f>
        <v/>
      </c>
      <c r="C141" s="27">
        <f>Working_Data!C141</f>
        <v/>
      </c>
      <c r="D141" s="27">
        <f>Working_Data!D141</f>
        <v/>
      </c>
      <c r="E141" s="27">
        <f>Working_Data!E141</f>
        <v/>
      </c>
      <c r="F141" s="28">
        <f>Working_Data!P141</f>
        <v/>
      </c>
      <c r="G141" s="28">
        <f>Working_Data!Q141</f>
        <v/>
      </c>
      <c r="H141" s="28">
        <f>Working_Data!R141</f>
        <v/>
      </c>
      <c r="I141" s="28">
        <f>Working_Data!S141</f>
        <v/>
      </c>
      <c r="J141" s="28">
        <f>Working_Data!T141</f>
        <v/>
      </c>
    </row>
    <row r="142">
      <c r="A142" s="28">
        <f>Working_Data!A142</f>
        <v/>
      </c>
      <c r="B142" s="27">
        <f>Working_Data!B142</f>
        <v/>
      </c>
      <c r="C142" s="27">
        <f>Working_Data!C142</f>
        <v/>
      </c>
      <c r="D142" s="27">
        <f>Working_Data!D142</f>
        <v/>
      </c>
      <c r="E142" s="27">
        <f>Working_Data!E142</f>
        <v/>
      </c>
      <c r="F142" s="28">
        <f>Working_Data!P142</f>
        <v/>
      </c>
      <c r="G142" s="28">
        <f>Working_Data!Q142</f>
        <v/>
      </c>
      <c r="H142" s="28">
        <f>Working_Data!R142</f>
        <v/>
      </c>
      <c r="I142" s="28">
        <f>Working_Data!S142</f>
        <v/>
      </c>
      <c r="J142" s="28">
        <f>Working_Data!T142</f>
        <v/>
      </c>
    </row>
    <row r="143">
      <c r="A143" s="28">
        <f>Working_Data!A143</f>
        <v/>
      </c>
      <c r="B143" s="27">
        <f>Working_Data!B143</f>
        <v/>
      </c>
      <c r="C143" s="27">
        <f>Working_Data!C143</f>
        <v/>
      </c>
      <c r="D143" s="27">
        <f>Working_Data!D143</f>
        <v/>
      </c>
      <c r="E143" s="27">
        <f>Working_Data!E143</f>
        <v/>
      </c>
      <c r="F143" s="28">
        <f>Working_Data!P143</f>
        <v/>
      </c>
      <c r="G143" s="28">
        <f>Working_Data!Q143</f>
        <v/>
      </c>
      <c r="H143" s="28">
        <f>Working_Data!R143</f>
        <v/>
      </c>
      <c r="I143" s="28">
        <f>Working_Data!S143</f>
        <v/>
      </c>
      <c r="J143" s="28">
        <f>Working_Data!T143</f>
        <v/>
      </c>
    </row>
    <row r="144">
      <c r="A144" s="28">
        <f>Working_Data!A144</f>
        <v/>
      </c>
      <c r="B144" s="27">
        <f>Working_Data!B144</f>
        <v/>
      </c>
      <c r="C144" s="27">
        <f>Working_Data!C144</f>
        <v/>
      </c>
      <c r="D144" s="27">
        <f>Working_Data!D144</f>
        <v/>
      </c>
      <c r="E144" s="27">
        <f>Working_Data!E144</f>
        <v/>
      </c>
      <c r="F144" s="28">
        <f>Working_Data!P144</f>
        <v/>
      </c>
      <c r="G144" s="28">
        <f>Working_Data!Q144</f>
        <v/>
      </c>
      <c r="H144" s="28">
        <f>Working_Data!R144</f>
        <v/>
      </c>
      <c r="I144" s="28">
        <f>Working_Data!S144</f>
        <v/>
      </c>
      <c r="J144" s="28">
        <f>Working_Data!T144</f>
        <v/>
      </c>
    </row>
    <row r="145">
      <c r="A145" s="28">
        <f>Working_Data!A145</f>
        <v/>
      </c>
      <c r="B145" s="27">
        <f>Working_Data!B145</f>
        <v/>
      </c>
      <c r="C145" s="27">
        <f>Working_Data!C145</f>
        <v/>
      </c>
      <c r="D145" s="27">
        <f>Working_Data!D145</f>
        <v/>
      </c>
      <c r="E145" s="27">
        <f>Working_Data!E145</f>
        <v/>
      </c>
      <c r="F145" s="28">
        <f>Working_Data!P145</f>
        <v/>
      </c>
      <c r="G145" s="28">
        <f>Working_Data!Q145</f>
        <v/>
      </c>
      <c r="H145" s="28">
        <f>Working_Data!R145</f>
        <v/>
      </c>
      <c r="I145" s="28">
        <f>Working_Data!S145</f>
        <v/>
      </c>
      <c r="J145" s="28">
        <f>Working_Data!T145</f>
        <v/>
      </c>
    </row>
    <row r="146">
      <c r="A146" s="28">
        <f>Working_Data!A146</f>
        <v/>
      </c>
      <c r="B146" s="27">
        <f>Working_Data!B146</f>
        <v/>
      </c>
      <c r="C146" s="27">
        <f>Working_Data!C146</f>
        <v/>
      </c>
      <c r="D146" s="27">
        <f>Working_Data!D146</f>
        <v/>
      </c>
      <c r="E146" s="27">
        <f>Working_Data!E146</f>
        <v/>
      </c>
      <c r="F146" s="28">
        <f>Working_Data!P146</f>
        <v/>
      </c>
      <c r="G146" s="28">
        <f>Working_Data!Q146</f>
        <v/>
      </c>
      <c r="H146" s="28">
        <f>Working_Data!R146</f>
        <v/>
      </c>
      <c r="I146" s="28">
        <f>Working_Data!S146</f>
        <v/>
      </c>
      <c r="J146" s="28">
        <f>Working_Data!T146</f>
        <v/>
      </c>
    </row>
    <row r="147">
      <c r="A147" s="28">
        <f>Working_Data!A147</f>
        <v/>
      </c>
      <c r="B147" s="27">
        <f>Working_Data!B147</f>
        <v/>
      </c>
      <c r="C147" s="27">
        <f>Working_Data!C147</f>
        <v/>
      </c>
      <c r="D147" s="27">
        <f>Working_Data!D147</f>
        <v/>
      </c>
      <c r="E147" s="27">
        <f>Working_Data!E147</f>
        <v/>
      </c>
      <c r="F147" s="28">
        <f>Working_Data!P147</f>
        <v/>
      </c>
      <c r="G147" s="28">
        <f>Working_Data!Q147</f>
        <v/>
      </c>
      <c r="H147" s="28">
        <f>Working_Data!R147</f>
        <v/>
      </c>
      <c r="I147" s="28">
        <f>Working_Data!S147</f>
        <v/>
      </c>
      <c r="J147" s="28">
        <f>Working_Data!T147</f>
        <v/>
      </c>
    </row>
    <row r="148">
      <c r="A148" s="28">
        <f>Working_Data!A148</f>
        <v/>
      </c>
      <c r="B148" s="27">
        <f>Working_Data!B148</f>
        <v/>
      </c>
      <c r="C148" s="27">
        <f>Working_Data!C148</f>
        <v/>
      </c>
      <c r="D148" s="27">
        <f>Working_Data!D148</f>
        <v/>
      </c>
      <c r="E148" s="27">
        <f>Working_Data!E148</f>
        <v/>
      </c>
      <c r="F148" s="28">
        <f>Working_Data!P148</f>
        <v/>
      </c>
      <c r="G148" s="28">
        <f>Working_Data!Q148</f>
        <v/>
      </c>
      <c r="H148" s="28">
        <f>Working_Data!R148</f>
        <v/>
      </c>
      <c r="I148" s="28">
        <f>Working_Data!S148</f>
        <v/>
      </c>
      <c r="J148" s="28">
        <f>Working_Data!T148</f>
        <v/>
      </c>
    </row>
    <row r="149">
      <c r="A149" s="28">
        <f>Working_Data!A149</f>
        <v/>
      </c>
      <c r="B149" s="27">
        <f>Working_Data!B149</f>
        <v/>
      </c>
      <c r="C149" s="27">
        <f>Working_Data!C149</f>
        <v/>
      </c>
      <c r="D149" s="27">
        <f>Working_Data!D149</f>
        <v/>
      </c>
      <c r="E149" s="27">
        <f>Working_Data!E149</f>
        <v/>
      </c>
      <c r="F149" s="28">
        <f>Working_Data!P149</f>
        <v/>
      </c>
      <c r="G149" s="28">
        <f>Working_Data!Q149</f>
        <v/>
      </c>
      <c r="H149" s="28">
        <f>Working_Data!R149</f>
        <v/>
      </c>
      <c r="I149" s="28">
        <f>Working_Data!S149</f>
        <v/>
      </c>
      <c r="J149" s="28">
        <f>Working_Data!T149</f>
        <v/>
      </c>
    </row>
    <row r="150">
      <c r="A150" s="28">
        <f>Working_Data!A150</f>
        <v/>
      </c>
      <c r="B150" s="27">
        <f>Working_Data!B150</f>
        <v/>
      </c>
      <c r="C150" s="27">
        <f>Working_Data!C150</f>
        <v/>
      </c>
      <c r="D150" s="27">
        <f>Working_Data!D150</f>
        <v/>
      </c>
      <c r="E150" s="27">
        <f>Working_Data!E150</f>
        <v/>
      </c>
      <c r="F150" s="28">
        <f>Working_Data!P150</f>
        <v/>
      </c>
      <c r="G150" s="28">
        <f>Working_Data!Q150</f>
        <v/>
      </c>
      <c r="H150" s="28">
        <f>Working_Data!R150</f>
        <v/>
      </c>
      <c r="I150" s="28">
        <f>Working_Data!S150</f>
        <v/>
      </c>
      <c r="J150" s="28">
        <f>Working_Data!T150</f>
        <v/>
      </c>
    </row>
    <row r="151">
      <c r="A151" s="28">
        <f>Working_Data!A151</f>
        <v/>
      </c>
      <c r="B151" s="27">
        <f>Working_Data!B151</f>
        <v/>
      </c>
      <c r="C151" s="27">
        <f>Working_Data!C151</f>
        <v/>
      </c>
      <c r="D151" s="27">
        <f>Working_Data!D151</f>
        <v/>
      </c>
      <c r="E151" s="27">
        <f>Working_Data!E151</f>
        <v/>
      </c>
      <c r="F151" s="28">
        <f>Working_Data!P151</f>
        <v/>
      </c>
      <c r="G151" s="28">
        <f>Working_Data!Q151</f>
        <v/>
      </c>
      <c r="H151" s="28">
        <f>Working_Data!R151</f>
        <v/>
      </c>
      <c r="I151" s="28">
        <f>Working_Data!S151</f>
        <v/>
      </c>
      <c r="J151" s="28">
        <f>Working_Data!T151</f>
        <v/>
      </c>
    </row>
    <row r="152">
      <c r="A152" s="28">
        <f>Working_Data!A152</f>
        <v/>
      </c>
      <c r="B152" s="27">
        <f>Working_Data!B152</f>
        <v/>
      </c>
      <c r="C152" s="27">
        <f>Working_Data!C152</f>
        <v/>
      </c>
      <c r="D152" s="27">
        <f>Working_Data!D152</f>
        <v/>
      </c>
      <c r="E152" s="27">
        <f>Working_Data!E152</f>
        <v/>
      </c>
      <c r="F152" s="28">
        <f>Working_Data!P152</f>
        <v/>
      </c>
      <c r="G152" s="28">
        <f>Working_Data!Q152</f>
        <v/>
      </c>
      <c r="H152" s="28">
        <f>Working_Data!R152</f>
        <v/>
      </c>
      <c r="I152" s="28">
        <f>Working_Data!S152</f>
        <v/>
      </c>
      <c r="J152" s="28">
        <f>Working_Data!T152</f>
        <v/>
      </c>
    </row>
    <row r="153">
      <c r="A153" s="28">
        <f>Working_Data!A153</f>
        <v/>
      </c>
      <c r="B153" s="27">
        <f>Working_Data!B153</f>
        <v/>
      </c>
      <c r="C153" s="27">
        <f>Working_Data!C153</f>
        <v/>
      </c>
      <c r="D153" s="27">
        <f>Working_Data!D153</f>
        <v/>
      </c>
      <c r="E153" s="27">
        <f>Working_Data!E153</f>
        <v/>
      </c>
      <c r="F153" s="28">
        <f>Working_Data!P153</f>
        <v/>
      </c>
      <c r="G153" s="28">
        <f>Working_Data!Q153</f>
        <v/>
      </c>
      <c r="H153" s="28">
        <f>Working_Data!R153</f>
        <v/>
      </c>
      <c r="I153" s="28">
        <f>Working_Data!S153</f>
        <v/>
      </c>
      <c r="J153" s="28">
        <f>Working_Data!T153</f>
        <v/>
      </c>
    </row>
    <row r="154">
      <c r="A154" s="28">
        <f>Working_Data!A154</f>
        <v/>
      </c>
      <c r="B154" s="27">
        <f>Working_Data!B154</f>
        <v/>
      </c>
      <c r="C154" s="27">
        <f>Working_Data!C154</f>
        <v/>
      </c>
      <c r="D154" s="27">
        <f>Working_Data!D154</f>
        <v/>
      </c>
      <c r="E154" s="27">
        <f>Working_Data!E154</f>
        <v/>
      </c>
      <c r="F154" s="28">
        <f>Working_Data!P154</f>
        <v/>
      </c>
      <c r="G154" s="28">
        <f>Working_Data!Q154</f>
        <v/>
      </c>
      <c r="H154" s="28">
        <f>Working_Data!R154</f>
        <v/>
      </c>
      <c r="I154" s="28">
        <f>Working_Data!S154</f>
        <v/>
      </c>
      <c r="J154" s="28">
        <f>Working_Data!T154</f>
        <v/>
      </c>
    </row>
    <row r="155">
      <c r="A155" s="28">
        <f>Working_Data!A155</f>
        <v/>
      </c>
      <c r="B155" s="27">
        <f>Working_Data!B155</f>
        <v/>
      </c>
      <c r="C155" s="27">
        <f>Working_Data!C155</f>
        <v/>
      </c>
      <c r="D155" s="27">
        <f>Working_Data!D155</f>
        <v/>
      </c>
      <c r="E155" s="27">
        <f>Working_Data!E155</f>
        <v/>
      </c>
      <c r="F155" s="28">
        <f>Working_Data!P155</f>
        <v/>
      </c>
      <c r="G155" s="28">
        <f>Working_Data!Q155</f>
        <v/>
      </c>
      <c r="H155" s="28">
        <f>Working_Data!R155</f>
        <v/>
      </c>
      <c r="I155" s="28">
        <f>Working_Data!S155</f>
        <v/>
      </c>
      <c r="J155" s="28">
        <f>Working_Data!T155</f>
        <v/>
      </c>
    </row>
    <row r="156">
      <c r="A156" s="28">
        <f>Working_Data!A156</f>
        <v/>
      </c>
      <c r="B156" s="27">
        <f>Working_Data!B156</f>
        <v/>
      </c>
      <c r="C156" s="27">
        <f>Working_Data!C156</f>
        <v/>
      </c>
      <c r="D156" s="27">
        <f>Working_Data!D156</f>
        <v/>
      </c>
      <c r="E156" s="27">
        <f>Working_Data!E156</f>
        <v/>
      </c>
      <c r="F156" s="28">
        <f>Working_Data!P156</f>
        <v/>
      </c>
      <c r="G156" s="28">
        <f>Working_Data!Q156</f>
        <v/>
      </c>
      <c r="H156" s="28">
        <f>Working_Data!R156</f>
        <v/>
      </c>
      <c r="I156" s="28">
        <f>Working_Data!S156</f>
        <v/>
      </c>
      <c r="J156" s="28">
        <f>Working_Data!T156</f>
        <v/>
      </c>
    </row>
    <row r="157">
      <c r="A157" s="28">
        <f>Working_Data!A157</f>
        <v/>
      </c>
      <c r="B157" s="27">
        <f>Working_Data!B157</f>
        <v/>
      </c>
      <c r="C157" s="27">
        <f>Working_Data!C157</f>
        <v/>
      </c>
      <c r="D157" s="27">
        <f>Working_Data!D157</f>
        <v/>
      </c>
      <c r="E157" s="27">
        <f>Working_Data!E157</f>
        <v/>
      </c>
      <c r="F157" s="28">
        <f>Working_Data!P157</f>
        <v/>
      </c>
      <c r="G157" s="28">
        <f>Working_Data!Q157</f>
        <v/>
      </c>
      <c r="H157" s="28">
        <f>Working_Data!R157</f>
        <v/>
      </c>
      <c r="I157" s="28">
        <f>Working_Data!S157</f>
        <v/>
      </c>
      <c r="J157" s="28">
        <f>Working_Data!T157</f>
        <v/>
      </c>
    </row>
    <row r="158">
      <c r="A158" s="28">
        <f>Working_Data!A158</f>
        <v/>
      </c>
      <c r="B158" s="27">
        <f>Working_Data!B158</f>
        <v/>
      </c>
      <c r="C158" s="27">
        <f>Working_Data!C158</f>
        <v/>
      </c>
      <c r="D158" s="27">
        <f>Working_Data!D158</f>
        <v/>
      </c>
      <c r="E158" s="27">
        <f>Working_Data!E158</f>
        <v/>
      </c>
      <c r="F158" s="28">
        <f>Working_Data!P158</f>
        <v/>
      </c>
      <c r="G158" s="28">
        <f>Working_Data!Q158</f>
        <v/>
      </c>
      <c r="H158" s="28">
        <f>Working_Data!R158</f>
        <v/>
      </c>
      <c r="I158" s="28">
        <f>Working_Data!S158</f>
        <v/>
      </c>
      <c r="J158" s="28">
        <f>Working_Data!T158</f>
        <v/>
      </c>
    </row>
    <row r="159">
      <c r="A159" s="28">
        <f>Working_Data!A159</f>
        <v/>
      </c>
      <c r="B159" s="27">
        <f>Working_Data!B159</f>
        <v/>
      </c>
      <c r="C159" s="27">
        <f>Working_Data!C159</f>
        <v/>
      </c>
      <c r="D159" s="27">
        <f>Working_Data!D159</f>
        <v/>
      </c>
      <c r="E159" s="27">
        <f>Working_Data!E159</f>
        <v/>
      </c>
      <c r="F159" s="28">
        <f>Working_Data!P159</f>
        <v/>
      </c>
      <c r="G159" s="28">
        <f>Working_Data!Q159</f>
        <v/>
      </c>
      <c r="H159" s="28">
        <f>Working_Data!R159</f>
        <v/>
      </c>
      <c r="I159" s="28">
        <f>Working_Data!S159</f>
        <v/>
      </c>
      <c r="J159" s="28">
        <f>Working_Data!T159</f>
        <v/>
      </c>
    </row>
    <row r="160">
      <c r="A160" s="28">
        <f>Working_Data!A160</f>
        <v/>
      </c>
      <c r="B160" s="27">
        <f>Working_Data!B160</f>
        <v/>
      </c>
      <c r="C160" s="27">
        <f>Working_Data!C160</f>
        <v/>
      </c>
      <c r="D160" s="27">
        <f>Working_Data!D160</f>
        <v/>
      </c>
      <c r="E160" s="27">
        <f>Working_Data!E160</f>
        <v/>
      </c>
      <c r="F160" s="28">
        <f>Working_Data!P160</f>
        <v/>
      </c>
      <c r="G160" s="28">
        <f>Working_Data!Q160</f>
        <v/>
      </c>
      <c r="H160" s="28">
        <f>Working_Data!R160</f>
        <v/>
      </c>
      <c r="I160" s="28">
        <f>Working_Data!S160</f>
        <v/>
      </c>
      <c r="J160" s="28">
        <f>Working_Data!T160</f>
        <v/>
      </c>
    </row>
    <row r="161">
      <c r="A161" s="28">
        <f>Working_Data!A161</f>
        <v/>
      </c>
      <c r="B161" s="27">
        <f>Working_Data!B161</f>
        <v/>
      </c>
      <c r="C161" s="27">
        <f>Working_Data!C161</f>
        <v/>
      </c>
      <c r="D161" s="27">
        <f>Working_Data!D161</f>
        <v/>
      </c>
      <c r="E161" s="27">
        <f>Working_Data!E161</f>
        <v/>
      </c>
      <c r="F161" s="28">
        <f>Working_Data!P161</f>
        <v/>
      </c>
      <c r="G161" s="28">
        <f>Working_Data!Q161</f>
        <v/>
      </c>
      <c r="H161" s="28">
        <f>Working_Data!R161</f>
        <v/>
      </c>
      <c r="I161" s="28">
        <f>Working_Data!S161</f>
        <v/>
      </c>
      <c r="J161" s="28">
        <f>Working_Data!T161</f>
        <v/>
      </c>
    </row>
    <row r="162">
      <c r="A162" s="28">
        <f>Working_Data!A162</f>
        <v/>
      </c>
      <c r="B162" s="27">
        <f>Working_Data!B162</f>
        <v/>
      </c>
      <c r="C162" s="27">
        <f>Working_Data!C162</f>
        <v/>
      </c>
      <c r="D162" s="27">
        <f>Working_Data!D162</f>
        <v/>
      </c>
      <c r="E162" s="27">
        <f>Working_Data!E162</f>
        <v/>
      </c>
      <c r="F162" s="28">
        <f>Working_Data!P162</f>
        <v/>
      </c>
      <c r="G162" s="28">
        <f>Working_Data!Q162</f>
        <v/>
      </c>
      <c r="H162" s="28">
        <f>Working_Data!R162</f>
        <v/>
      </c>
      <c r="I162" s="28">
        <f>Working_Data!S162</f>
        <v/>
      </c>
      <c r="J162" s="28">
        <f>Working_Data!T162</f>
        <v/>
      </c>
    </row>
    <row r="163">
      <c r="A163" s="28">
        <f>Working_Data!A163</f>
        <v/>
      </c>
      <c r="B163" s="27">
        <f>Working_Data!B163</f>
        <v/>
      </c>
      <c r="C163" s="27">
        <f>Working_Data!C163</f>
        <v/>
      </c>
      <c r="D163" s="27">
        <f>Working_Data!D163</f>
        <v/>
      </c>
      <c r="E163" s="27">
        <f>Working_Data!E163</f>
        <v/>
      </c>
      <c r="F163" s="28">
        <f>Working_Data!P163</f>
        <v/>
      </c>
      <c r="G163" s="28">
        <f>Working_Data!Q163</f>
        <v/>
      </c>
      <c r="H163" s="28">
        <f>Working_Data!R163</f>
        <v/>
      </c>
      <c r="I163" s="28">
        <f>Working_Data!S163</f>
        <v/>
      </c>
      <c r="J163" s="28">
        <f>Working_Data!T163</f>
        <v/>
      </c>
    </row>
    <row r="164">
      <c r="A164" s="28">
        <f>Working_Data!A164</f>
        <v/>
      </c>
      <c r="B164" s="27">
        <f>Working_Data!B164</f>
        <v/>
      </c>
      <c r="C164" s="27">
        <f>Working_Data!C164</f>
        <v/>
      </c>
      <c r="D164" s="27">
        <f>Working_Data!D164</f>
        <v/>
      </c>
      <c r="E164" s="27">
        <f>Working_Data!E164</f>
        <v/>
      </c>
      <c r="F164" s="28">
        <f>Working_Data!P164</f>
        <v/>
      </c>
      <c r="G164" s="28">
        <f>Working_Data!Q164</f>
        <v/>
      </c>
      <c r="H164" s="28">
        <f>Working_Data!R164</f>
        <v/>
      </c>
      <c r="I164" s="28">
        <f>Working_Data!S164</f>
        <v/>
      </c>
      <c r="J164" s="28">
        <f>Working_Data!T164</f>
        <v/>
      </c>
    </row>
    <row r="165">
      <c r="A165" s="28">
        <f>Working_Data!A165</f>
        <v/>
      </c>
      <c r="B165" s="27">
        <f>Working_Data!B165</f>
        <v/>
      </c>
      <c r="C165" s="27">
        <f>Working_Data!C165</f>
        <v/>
      </c>
      <c r="D165" s="27">
        <f>Working_Data!D165</f>
        <v/>
      </c>
      <c r="E165" s="27">
        <f>Working_Data!E165</f>
        <v/>
      </c>
      <c r="F165" s="28">
        <f>Working_Data!P165</f>
        <v/>
      </c>
      <c r="G165" s="28">
        <f>Working_Data!Q165</f>
        <v/>
      </c>
      <c r="H165" s="28">
        <f>Working_Data!R165</f>
        <v/>
      </c>
      <c r="I165" s="28">
        <f>Working_Data!S165</f>
        <v/>
      </c>
      <c r="J165" s="28">
        <f>Working_Data!T165</f>
        <v/>
      </c>
    </row>
    <row r="166">
      <c r="A166" s="28">
        <f>Working_Data!A166</f>
        <v/>
      </c>
      <c r="B166" s="27">
        <f>Working_Data!B166</f>
        <v/>
      </c>
      <c r="C166" s="27">
        <f>Working_Data!C166</f>
        <v/>
      </c>
      <c r="D166" s="27">
        <f>Working_Data!D166</f>
        <v/>
      </c>
      <c r="E166" s="27">
        <f>Working_Data!E166</f>
        <v/>
      </c>
      <c r="F166" s="28">
        <f>Working_Data!P166</f>
        <v/>
      </c>
      <c r="G166" s="28">
        <f>Working_Data!Q166</f>
        <v/>
      </c>
      <c r="H166" s="28">
        <f>Working_Data!R166</f>
        <v/>
      </c>
      <c r="I166" s="28">
        <f>Working_Data!S166</f>
        <v/>
      </c>
      <c r="J166" s="28">
        <f>Working_Data!T166</f>
        <v/>
      </c>
    </row>
    <row r="167">
      <c r="A167" s="28">
        <f>Working_Data!A167</f>
        <v/>
      </c>
      <c r="B167" s="27">
        <f>Working_Data!B167</f>
        <v/>
      </c>
      <c r="C167" s="27">
        <f>Working_Data!C167</f>
        <v/>
      </c>
      <c r="D167" s="27">
        <f>Working_Data!D167</f>
        <v/>
      </c>
      <c r="E167" s="27">
        <f>Working_Data!E167</f>
        <v/>
      </c>
      <c r="F167" s="28">
        <f>Working_Data!P167</f>
        <v/>
      </c>
      <c r="G167" s="28">
        <f>Working_Data!Q167</f>
        <v/>
      </c>
      <c r="H167" s="28">
        <f>Working_Data!R167</f>
        <v/>
      </c>
      <c r="I167" s="28">
        <f>Working_Data!S167</f>
        <v/>
      </c>
      <c r="J167" s="28">
        <f>Working_Data!T167</f>
        <v/>
      </c>
    </row>
    <row r="168">
      <c r="A168" s="28">
        <f>Working_Data!A168</f>
        <v/>
      </c>
      <c r="B168" s="27">
        <f>Working_Data!B168</f>
        <v/>
      </c>
      <c r="C168" s="27">
        <f>Working_Data!C168</f>
        <v/>
      </c>
      <c r="D168" s="27">
        <f>Working_Data!D168</f>
        <v/>
      </c>
      <c r="E168" s="27">
        <f>Working_Data!E168</f>
        <v/>
      </c>
      <c r="F168" s="28">
        <f>Working_Data!P168</f>
        <v/>
      </c>
      <c r="G168" s="28">
        <f>Working_Data!Q168</f>
        <v/>
      </c>
      <c r="H168" s="28">
        <f>Working_Data!R168</f>
        <v/>
      </c>
      <c r="I168" s="28">
        <f>Working_Data!S168</f>
        <v/>
      </c>
      <c r="J168" s="28">
        <f>Working_Data!T168</f>
        <v/>
      </c>
    </row>
    <row r="169">
      <c r="A169" s="28">
        <f>Working_Data!A169</f>
        <v/>
      </c>
      <c r="B169" s="27">
        <f>Working_Data!B169</f>
        <v/>
      </c>
      <c r="C169" s="27">
        <f>Working_Data!C169</f>
        <v/>
      </c>
      <c r="D169" s="27">
        <f>Working_Data!D169</f>
        <v/>
      </c>
      <c r="E169" s="27">
        <f>Working_Data!E169</f>
        <v/>
      </c>
      <c r="F169" s="28">
        <f>Working_Data!P169</f>
        <v/>
      </c>
      <c r="G169" s="28">
        <f>Working_Data!Q169</f>
        <v/>
      </c>
      <c r="H169" s="28">
        <f>Working_Data!R169</f>
        <v/>
      </c>
      <c r="I169" s="28">
        <f>Working_Data!S169</f>
        <v/>
      </c>
      <c r="J169" s="28">
        <f>Working_Data!T169</f>
        <v/>
      </c>
    </row>
    <row r="170">
      <c r="A170" s="28">
        <f>Working_Data!A170</f>
        <v/>
      </c>
      <c r="B170" s="27">
        <f>Working_Data!B170</f>
        <v/>
      </c>
      <c r="C170" s="27">
        <f>Working_Data!C170</f>
        <v/>
      </c>
      <c r="D170" s="27">
        <f>Working_Data!D170</f>
        <v/>
      </c>
      <c r="E170" s="27">
        <f>Working_Data!E170</f>
        <v/>
      </c>
      <c r="F170" s="28">
        <f>Working_Data!P170</f>
        <v/>
      </c>
      <c r="G170" s="28">
        <f>Working_Data!Q170</f>
        <v/>
      </c>
      <c r="H170" s="28">
        <f>Working_Data!R170</f>
        <v/>
      </c>
      <c r="I170" s="28">
        <f>Working_Data!S170</f>
        <v/>
      </c>
      <c r="J170" s="28">
        <f>Working_Data!T170</f>
        <v/>
      </c>
    </row>
    <row r="171">
      <c r="A171" s="28">
        <f>Working_Data!A171</f>
        <v/>
      </c>
      <c r="B171" s="27">
        <f>Working_Data!B171</f>
        <v/>
      </c>
      <c r="C171" s="27">
        <f>Working_Data!C171</f>
        <v/>
      </c>
      <c r="D171" s="27">
        <f>Working_Data!D171</f>
        <v/>
      </c>
      <c r="E171" s="27">
        <f>Working_Data!E171</f>
        <v/>
      </c>
      <c r="F171" s="28">
        <f>Working_Data!P171</f>
        <v/>
      </c>
      <c r="G171" s="28">
        <f>Working_Data!Q171</f>
        <v/>
      </c>
      <c r="H171" s="28">
        <f>Working_Data!R171</f>
        <v/>
      </c>
      <c r="I171" s="28">
        <f>Working_Data!S171</f>
        <v/>
      </c>
      <c r="J171" s="28">
        <f>Working_Data!T171</f>
        <v/>
      </c>
    </row>
    <row r="172">
      <c r="A172" s="28">
        <f>Working_Data!A172</f>
        <v/>
      </c>
      <c r="B172" s="27">
        <f>Working_Data!B172</f>
        <v/>
      </c>
      <c r="C172" s="27">
        <f>Working_Data!C172</f>
        <v/>
      </c>
      <c r="D172" s="27">
        <f>Working_Data!D172</f>
        <v/>
      </c>
      <c r="E172" s="27">
        <f>Working_Data!E172</f>
        <v/>
      </c>
      <c r="F172" s="28">
        <f>Working_Data!P172</f>
        <v/>
      </c>
      <c r="G172" s="28">
        <f>Working_Data!Q172</f>
        <v/>
      </c>
      <c r="H172" s="28">
        <f>Working_Data!R172</f>
        <v/>
      </c>
      <c r="I172" s="28">
        <f>Working_Data!S172</f>
        <v/>
      </c>
      <c r="J172" s="28">
        <f>Working_Data!T172</f>
        <v/>
      </c>
    </row>
    <row r="173">
      <c r="A173" s="28">
        <f>Working_Data!A173</f>
        <v/>
      </c>
      <c r="B173" s="27">
        <f>Working_Data!B173</f>
        <v/>
      </c>
      <c r="C173" s="27">
        <f>Working_Data!C173</f>
        <v/>
      </c>
      <c r="D173" s="27">
        <f>Working_Data!D173</f>
        <v/>
      </c>
      <c r="E173" s="27">
        <f>Working_Data!E173</f>
        <v/>
      </c>
      <c r="F173" s="28">
        <f>Working_Data!P173</f>
        <v/>
      </c>
      <c r="G173" s="28">
        <f>Working_Data!Q173</f>
        <v/>
      </c>
      <c r="H173" s="28">
        <f>Working_Data!R173</f>
        <v/>
      </c>
      <c r="I173" s="28">
        <f>Working_Data!S173</f>
        <v/>
      </c>
      <c r="J173" s="28">
        <f>Working_Data!T173</f>
        <v/>
      </c>
    </row>
    <row r="174">
      <c r="A174" s="28">
        <f>Working_Data!A174</f>
        <v/>
      </c>
      <c r="B174" s="27">
        <f>Working_Data!B174</f>
        <v/>
      </c>
      <c r="C174" s="27">
        <f>Working_Data!C174</f>
        <v/>
      </c>
      <c r="D174" s="27">
        <f>Working_Data!D174</f>
        <v/>
      </c>
      <c r="E174" s="27">
        <f>Working_Data!E174</f>
        <v/>
      </c>
      <c r="F174" s="28">
        <f>Working_Data!P174</f>
        <v/>
      </c>
      <c r="G174" s="28">
        <f>Working_Data!Q174</f>
        <v/>
      </c>
      <c r="H174" s="28">
        <f>Working_Data!R174</f>
        <v/>
      </c>
      <c r="I174" s="28">
        <f>Working_Data!S174</f>
        <v/>
      </c>
      <c r="J174" s="28">
        <f>Working_Data!T174</f>
        <v/>
      </c>
    </row>
    <row r="175">
      <c r="A175" s="28">
        <f>Working_Data!A175</f>
        <v/>
      </c>
      <c r="B175" s="27">
        <f>Working_Data!B175</f>
        <v/>
      </c>
      <c r="C175" s="27">
        <f>Working_Data!C175</f>
        <v/>
      </c>
      <c r="D175" s="27">
        <f>Working_Data!D175</f>
        <v/>
      </c>
      <c r="E175" s="27">
        <f>Working_Data!E175</f>
        <v/>
      </c>
      <c r="F175" s="28">
        <f>Working_Data!P175</f>
        <v/>
      </c>
      <c r="G175" s="28">
        <f>Working_Data!Q175</f>
        <v/>
      </c>
      <c r="H175" s="28">
        <f>Working_Data!R175</f>
        <v/>
      </c>
      <c r="I175" s="28">
        <f>Working_Data!S175</f>
        <v/>
      </c>
      <c r="J175" s="28">
        <f>Working_Data!T175</f>
        <v/>
      </c>
    </row>
    <row r="176">
      <c r="A176" s="28">
        <f>Working_Data!A176</f>
        <v/>
      </c>
      <c r="B176" s="27">
        <f>Working_Data!B176</f>
        <v/>
      </c>
      <c r="C176" s="27">
        <f>Working_Data!C176</f>
        <v/>
      </c>
      <c r="D176" s="27">
        <f>Working_Data!D176</f>
        <v/>
      </c>
      <c r="E176" s="27">
        <f>Working_Data!E176</f>
        <v/>
      </c>
      <c r="F176" s="28">
        <f>Working_Data!P176</f>
        <v/>
      </c>
      <c r="G176" s="28">
        <f>Working_Data!Q176</f>
        <v/>
      </c>
      <c r="H176" s="28">
        <f>Working_Data!R176</f>
        <v/>
      </c>
      <c r="I176" s="28">
        <f>Working_Data!S176</f>
        <v/>
      </c>
      <c r="J176" s="28">
        <f>Working_Data!T176</f>
        <v/>
      </c>
    </row>
    <row r="177">
      <c r="A177" s="28">
        <f>Working_Data!A177</f>
        <v/>
      </c>
      <c r="B177" s="27">
        <f>Working_Data!B177</f>
        <v/>
      </c>
      <c r="C177" s="27">
        <f>Working_Data!C177</f>
        <v/>
      </c>
      <c r="D177" s="27">
        <f>Working_Data!D177</f>
        <v/>
      </c>
      <c r="E177" s="27">
        <f>Working_Data!E177</f>
        <v/>
      </c>
      <c r="F177" s="28">
        <f>Working_Data!P177</f>
        <v/>
      </c>
      <c r="G177" s="28">
        <f>Working_Data!Q177</f>
        <v/>
      </c>
      <c r="H177" s="28">
        <f>Working_Data!R177</f>
        <v/>
      </c>
      <c r="I177" s="28">
        <f>Working_Data!S177</f>
        <v/>
      </c>
      <c r="J177" s="28">
        <f>Working_Data!T177</f>
        <v/>
      </c>
    </row>
    <row r="178">
      <c r="A178" s="28">
        <f>Working_Data!A178</f>
        <v/>
      </c>
      <c r="B178" s="27">
        <f>Working_Data!B178</f>
        <v/>
      </c>
      <c r="C178" s="27">
        <f>Working_Data!C178</f>
        <v/>
      </c>
      <c r="D178" s="27">
        <f>Working_Data!D178</f>
        <v/>
      </c>
      <c r="E178" s="27">
        <f>Working_Data!E178</f>
        <v/>
      </c>
      <c r="F178" s="28">
        <f>Working_Data!P178</f>
        <v/>
      </c>
      <c r="G178" s="28">
        <f>Working_Data!Q178</f>
        <v/>
      </c>
      <c r="H178" s="28">
        <f>Working_Data!R178</f>
        <v/>
      </c>
      <c r="I178" s="28">
        <f>Working_Data!S178</f>
        <v/>
      </c>
      <c r="J178" s="28">
        <f>Working_Data!T178</f>
        <v/>
      </c>
    </row>
    <row r="179">
      <c r="A179" s="28">
        <f>Working_Data!A179</f>
        <v/>
      </c>
      <c r="B179" s="27">
        <f>Working_Data!B179</f>
        <v/>
      </c>
      <c r="C179" s="27">
        <f>Working_Data!C179</f>
        <v/>
      </c>
      <c r="D179" s="27">
        <f>Working_Data!D179</f>
        <v/>
      </c>
      <c r="E179" s="27">
        <f>Working_Data!E179</f>
        <v/>
      </c>
      <c r="F179" s="28">
        <f>Working_Data!P179</f>
        <v/>
      </c>
      <c r="G179" s="28">
        <f>Working_Data!Q179</f>
        <v/>
      </c>
      <c r="H179" s="28">
        <f>Working_Data!R179</f>
        <v/>
      </c>
      <c r="I179" s="28">
        <f>Working_Data!S179</f>
        <v/>
      </c>
      <c r="J179" s="28">
        <f>Working_Data!T179</f>
        <v/>
      </c>
    </row>
    <row r="180">
      <c r="A180" s="28">
        <f>Working_Data!A180</f>
        <v/>
      </c>
      <c r="B180" s="27">
        <f>Working_Data!B180</f>
        <v/>
      </c>
      <c r="C180" s="27">
        <f>Working_Data!C180</f>
        <v/>
      </c>
      <c r="D180" s="27">
        <f>Working_Data!D180</f>
        <v/>
      </c>
      <c r="E180" s="27">
        <f>Working_Data!E180</f>
        <v/>
      </c>
      <c r="F180" s="28">
        <f>Working_Data!P180</f>
        <v/>
      </c>
      <c r="G180" s="28">
        <f>Working_Data!Q180</f>
        <v/>
      </c>
      <c r="H180" s="28">
        <f>Working_Data!R180</f>
        <v/>
      </c>
      <c r="I180" s="28">
        <f>Working_Data!S180</f>
        <v/>
      </c>
      <c r="J180" s="28">
        <f>Working_Data!T180</f>
        <v/>
      </c>
    </row>
    <row r="181">
      <c r="A181" s="28">
        <f>Working_Data!A181</f>
        <v/>
      </c>
      <c r="B181" s="27">
        <f>Working_Data!B181</f>
        <v/>
      </c>
      <c r="C181" s="27">
        <f>Working_Data!C181</f>
        <v/>
      </c>
      <c r="D181" s="27">
        <f>Working_Data!D181</f>
        <v/>
      </c>
      <c r="E181" s="27">
        <f>Working_Data!E181</f>
        <v/>
      </c>
      <c r="F181" s="28">
        <f>Working_Data!P181</f>
        <v/>
      </c>
      <c r="G181" s="28">
        <f>Working_Data!Q181</f>
        <v/>
      </c>
      <c r="H181" s="28">
        <f>Working_Data!R181</f>
        <v/>
      </c>
      <c r="I181" s="28">
        <f>Working_Data!S181</f>
        <v/>
      </c>
      <c r="J181" s="28">
        <f>Working_Data!T181</f>
        <v/>
      </c>
    </row>
    <row r="182">
      <c r="A182" s="28">
        <f>Working_Data!A182</f>
        <v/>
      </c>
      <c r="B182" s="27">
        <f>Working_Data!B182</f>
        <v/>
      </c>
      <c r="C182" s="27">
        <f>Working_Data!C182</f>
        <v/>
      </c>
      <c r="D182" s="27">
        <f>Working_Data!D182</f>
        <v/>
      </c>
      <c r="E182" s="27">
        <f>Working_Data!E182</f>
        <v/>
      </c>
      <c r="F182" s="28">
        <f>Working_Data!P182</f>
        <v/>
      </c>
      <c r="G182" s="28">
        <f>Working_Data!Q182</f>
        <v/>
      </c>
      <c r="H182" s="28">
        <f>Working_Data!R182</f>
        <v/>
      </c>
      <c r="I182" s="28">
        <f>Working_Data!S182</f>
        <v/>
      </c>
      <c r="J182" s="28">
        <f>Working_Data!T182</f>
        <v/>
      </c>
    </row>
    <row r="183">
      <c r="A183" s="28">
        <f>Working_Data!A183</f>
        <v/>
      </c>
      <c r="B183" s="27">
        <f>Working_Data!B183</f>
        <v/>
      </c>
      <c r="C183" s="27">
        <f>Working_Data!C183</f>
        <v/>
      </c>
      <c r="D183" s="27">
        <f>Working_Data!D183</f>
        <v/>
      </c>
      <c r="E183" s="27">
        <f>Working_Data!E183</f>
        <v/>
      </c>
      <c r="F183" s="28">
        <f>Working_Data!P183</f>
        <v/>
      </c>
      <c r="G183" s="28">
        <f>Working_Data!Q183</f>
        <v/>
      </c>
      <c r="H183" s="28">
        <f>Working_Data!R183</f>
        <v/>
      </c>
      <c r="I183" s="28">
        <f>Working_Data!S183</f>
        <v/>
      </c>
      <c r="J183" s="28">
        <f>Working_Data!T183</f>
        <v/>
      </c>
    </row>
    <row r="184">
      <c r="A184" s="28">
        <f>Working_Data!A184</f>
        <v/>
      </c>
      <c r="B184" s="27">
        <f>Working_Data!B184</f>
        <v/>
      </c>
      <c r="C184" s="27">
        <f>Working_Data!C184</f>
        <v/>
      </c>
      <c r="D184" s="27">
        <f>Working_Data!D184</f>
        <v/>
      </c>
      <c r="E184" s="27">
        <f>Working_Data!E184</f>
        <v/>
      </c>
      <c r="F184" s="28">
        <f>Working_Data!P184</f>
        <v/>
      </c>
      <c r="G184" s="28">
        <f>Working_Data!Q184</f>
        <v/>
      </c>
      <c r="H184" s="28">
        <f>Working_Data!R184</f>
        <v/>
      </c>
      <c r="I184" s="28">
        <f>Working_Data!S184</f>
        <v/>
      </c>
      <c r="J184" s="28">
        <f>Working_Data!T184</f>
        <v/>
      </c>
    </row>
    <row r="185">
      <c r="A185" s="28">
        <f>Working_Data!A185</f>
        <v/>
      </c>
      <c r="B185" s="27">
        <f>Working_Data!B185</f>
        <v/>
      </c>
      <c r="C185" s="27">
        <f>Working_Data!C185</f>
        <v/>
      </c>
      <c r="D185" s="27">
        <f>Working_Data!D185</f>
        <v/>
      </c>
      <c r="E185" s="27">
        <f>Working_Data!E185</f>
        <v/>
      </c>
      <c r="F185" s="28">
        <f>Working_Data!P185</f>
        <v/>
      </c>
      <c r="G185" s="28">
        <f>Working_Data!Q185</f>
        <v/>
      </c>
      <c r="H185" s="28">
        <f>Working_Data!R185</f>
        <v/>
      </c>
      <c r="I185" s="28">
        <f>Working_Data!S185</f>
        <v/>
      </c>
      <c r="J185" s="28">
        <f>Working_Data!T185</f>
        <v/>
      </c>
    </row>
    <row r="186">
      <c r="A186" s="28">
        <f>Working_Data!A186</f>
        <v/>
      </c>
      <c r="B186" s="27">
        <f>Working_Data!B186</f>
        <v/>
      </c>
      <c r="C186" s="27">
        <f>Working_Data!C186</f>
        <v/>
      </c>
      <c r="D186" s="27">
        <f>Working_Data!D186</f>
        <v/>
      </c>
      <c r="E186" s="27">
        <f>Working_Data!E186</f>
        <v/>
      </c>
      <c r="F186" s="28">
        <f>Working_Data!P186</f>
        <v/>
      </c>
      <c r="G186" s="28">
        <f>Working_Data!Q186</f>
        <v/>
      </c>
      <c r="H186" s="28">
        <f>Working_Data!R186</f>
        <v/>
      </c>
      <c r="I186" s="28">
        <f>Working_Data!S186</f>
        <v/>
      </c>
      <c r="J186" s="28">
        <f>Working_Data!T186</f>
        <v/>
      </c>
    </row>
    <row r="187">
      <c r="A187" s="28">
        <f>Working_Data!A187</f>
        <v/>
      </c>
      <c r="B187" s="27">
        <f>Working_Data!B187</f>
        <v/>
      </c>
      <c r="C187" s="27">
        <f>Working_Data!C187</f>
        <v/>
      </c>
      <c r="D187" s="27">
        <f>Working_Data!D187</f>
        <v/>
      </c>
      <c r="E187" s="27">
        <f>Working_Data!E187</f>
        <v/>
      </c>
      <c r="F187" s="28">
        <f>Working_Data!P187</f>
        <v/>
      </c>
      <c r="G187" s="28">
        <f>Working_Data!Q187</f>
        <v/>
      </c>
      <c r="H187" s="28">
        <f>Working_Data!R187</f>
        <v/>
      </c>
      <c r="I187" s="28">
        <f>Working_Data!S187</f>
        <v/>
      </c>
      <c r="J187" s="28">
        <f>Working_Data!T187</f>
        <v/>
      </c>
    </row>
    <row r="188">
      <c r="A188" s="28">
        <f>Working_Data!A188</f>
        <v/>
      </c>
      <c r="B188" s="27">
        <f>Working_Data!B188</f>
        <v/>
      </c>
      <c r="C188" s="27">
        <f>Working_Data!C188</f>
        <v/>
      </c>
      <c r="D188" s="27">
        <f>Working_Data!D188</f>
        <v/>
      </c>
      <c r="E188" s="27">
        <f>Working_Data!E188</f>
        <v/>
      </c>
      <c r="F188" s="28">
        <f>Working_Data!P188</f>
        <v/>
      </c>
      <c r="G188" s="28">
        <f>Working_Data!Q188</f>
        <v/>
      </c>
      <c r="H188" s="28">
        <f>Working_Data!R188</f>
        <v/>
      </c>
      <c r="I188" s="28">
        <f>Working_Data!S188</f>
        <v/>
      </c>
      <c r="J188" s="28">
        <f>Working_Data!T188</f>
        <v/>
      </c>
    </row>
    <row r="189">
      <c r="A189" s="28">
        <f>Working_Data!A189</f>
        <v/>
      </c>
      <c r="B189" s="27">
        <f>Working_Data!B189</f>
        <v/>
      </c>
      <c r="C189" s="27">
        <f>Working_Data!C189</f>
        <v/>
      </c>
      <c r="D189" s="27">
        <f>Working_Data!D189</f>
        <v/>
      </c>
      <c r="E189" s="27">
        <f>Working_Data!E189</f>
        <v/>
      </c>
      <c r="F189" s="28">
        <f>Working_Data!P189</f>
        <v/>
      </c>
      <c r="G189" s="28">
        <f>Working_Data!Q189</f>
        <v/>
      </c>
      <c r="H189" s="28">
        <f>Working_Data!R189</f>
        <v/>
      </c>
      <c r="I189" s="28">
        <f>Working_Data!S189</f>
        <v/>
      </c>
      <c r="J189" s="28">
        <f>Working_Data!T189</f>
        <v/>
      </c>
    </row>
    <row r="190">
      <c r="A190" s="28">
        <f>Working_Data!A190</f>
        <v/>
      </c>
      <c r="B190" s="27">
        <f>Working_Data!B190</f>
        <v/>
      </c>
      <c r="C190" s="27">
        <f>Working_Data!C190</f>
        <v/>
      </c>
      <c r="D190" s="27">
        <f>Working_Data!D190</f>
        <v/>
      </c>
      <c r="E190" s="27">
        <f>Working_Data!E190</f>
        <v/>
      </c>
      <c r="F190" s="28">
        <f>Working_Data!P190</f>
        <v/>
      </c>
      <c r="G190" s="28">
        <f>Working_Data!Q190</f>
        <v/>
      </c>
      <c r="H190" s="28">
        <f>Working_Data!R190</f>
        <v/>
      </c>
      <c r="I190" s="28">
        <f>Working_Data!S190</f>
        <v/>
      </c>
      <c r="J190" s="28">
        <f>Working_Data!T190</f>
        <v/>
      </c>
    </row>
    <row r="191">
      <c r="A191" s="28">
        <f>Working_Data!A191</f>
        <v/>
      </c>
      <c r="B191" s="27">
        <f>Working_Data!B191</f>
        <v/>
      </c>
      <c r="C191" s="27">
        <f>Working_Data!C191</f>
        <v/>
      </c>
      <c r="D191" s="27">
        <f>Working_Data!D191</f>
        <v/>
      </c>
      <c r="E191" s="27">
        <f>Working_Data!E191</f>
        <v/>
      </c>
      <c r="F191" s="28">
        <f>Working_Data!P191</f>
        <v/>
      </c>
      <c r="G191" s="28">
        <f>Working_Data!Q191</f>
        <v/>
      </c>
      <c r="H191" s="28">
        <f>Working_Data!R191</f>
        <v/>
      </c>
      <c r="I191" s="28">
        <f>Working_Data!S191</f>
        <v/>
      </c>
      <c r="J191" s="28">
        <f>Working_Data!T191</f>
        <v/>
      </c>
    </row>
    <row r="192">
      <c r="A192" s="28">
        <f>Working_Data!A192</f>
        <v/>
      </c>
      <c r="B192" s="27">
        <f>Working_Data!B192</f>
        <v/>
      </c>
      <c r="C192" s="27">
        <f>Working_Data!C192</f>
        <v/>
      </c>
      <c r="D192" s="27">
        <f>Working_Data!D192</f>
        <v/>
      </c>
      <c r="E192" s="27">
        <f>Working_Data!E192</f>
        <v/>
      </c>
      <c r="F192" s="28">
        <f>Working_Data!P192</f>
        <v/>
      </c>
      <c r="G192" s="28">
        <f>Working_Data!Q192</f>
        <v/>
      </c>
      <c r="H192" s="28">
        <f>Working_Data!R192</f>
        <v/>
      </c>
      <c r="I192" s="28">
        <f>Working_Data!S192</f>
        <v/>
      </c>
      <c r="J192" s="28">
        <f>Working_Data!T192</f>
        <v/>
      </c>
    </row>
    <row r="193">
      <c r="A193" s="28">
        <f>Working_Data!A193</f>
        <v/>
      </c>
      <c r="B193" s="27">
        <f>Working_Data!B193</f>
        <v/>
      </c>
      <c r="C193" s="27">
        <f>Working_Data!C193</f>
        <v/>
      </c>
      <c r="D193" s="27">
        <f>Working_Data!D193</f>
        <v/>
      </c>
      <c r="E193" s="27">
        <f>Working_Data!E193</f>
        <v/>
      </c>
      <c r="F193" s="28">
        <f>Working_Data!P193</f>
        <v/>
      </c>
      <c r="G193" s="28">
        <f>Working_Data!Q193</f>
        <v/>
      </c>
      <c r="H193" s="28">
        <f>Working_Data!R193</f>
        <v/>
      </c>
      <c r="I193" s="28">
        <f>Working_Data!S193</f>
        <v/>
      </c>
      <c r="J193" s="28">
        <f>Working_Data!T193</f>
        <v/>
      </c>
    </row>
    <row r="194">
      <c r="A194" s="28">
        <f>Working_Data!A194</f>
        <v/>
      </c>
      <c r="B194" s="27">
        <f>Working_Data!B194</f>
        <v/>
      </c>
      <c r="C194" s="27">
        <f>Working_Data!C194</f>
        <v/>
      </c>
      <c r="D194" s="27">
        <f>Working_Data!D194</f>
        <v/>
      </c>
      <c r="E194" s="27">
        <f>Working_Data!E194</f>
        <v/>
      </c>
      <c r="F194" s="28">
        <f>Working_Data!P194</f>
        <v/>
      </c>
      <c r="G194" s="28">
        <f>Working_Data!Q194</f>
        <v/>
      </c>
      <c r="H194" s="28">
        <f>Working_Data!R194</f>
        <v/>
      </c>
      <c r="I194" s="28">
        <f>Working_Data!S194</f>
        <v/>
      </c>
      <c r="J194" s="28">
        <f>Working_Data!T194</f>
        <v/>
      </c>
    </row>
    <row r="195">
      <c r="A195" s="28">
        <f>Working_Data!A195</f>
        <v/>
      </c>
      <c r="B195" s="27">
        <f>Working_Data!B195</f>
        <v/>
      </c>
      <c r="C195" s="27">
        <f>Working_Data!C195</f>
        <v/>
      </c>
      <c r="D195" s="27">
        <f>Working_Data!D195</f>
        <v/>
      </c>
      <c r="E195" s="27">
        <f>Working_Data!E195</f>
        <v/>
      </c>
      <c r="F195" s="28">
        <f>Working_Data!P195</f>
        <v/>
      </c>
      <c r="G195" s="28">
        <f>Working_Data!Q195</f>
        <v/>
      </c>
      <c r="H195" s="28">
        <f>Working_Data!R195</f>
        <v/>
      </c>
      <c r="I195" s="28">
        <f>Working_Data!S195</f>
        <v/>
      </c>
      <c r="J195" s="28">
        <f>Working_Data!T195</f>
        <v/>
      </c>
    </row>
    <row r="196">
      <c r="A196" s="28">
        <f>Working_Data!A196</f>
        <v/>
      </c>
      <c r="B196" s="27">
        <f>Working_Data!B196</f>
        <v/>
      </c>
      <c r="C196" s="27">
        <f>Working_Data!C196</f>
        <v/>
      </c>
      <c r="D196" s="27">
        <f>Working_Data!D196</f>
        <v/>
      </c>
      <c r="E196" s="27">
        <f>Working_Data!E196</f>
        <v/>
      </c>
      <c r="F196" s="28">
        <f>Working_Data!P196</f>
        <v/>
      </c>
      <c r="G196" s="28">
        <f>Working_Data!Q196</f>
        <v/>
      </c>
      <c r="H196" s="28">
        <f>Working_Data!R196</f>
        <v/>
      </c>
      <c r="I196" s="28">
        <f>Working_Data!S196</f>
        <v/>
      </c>
      <c r="J196" s="28">
        <f>Working_Data!T196</f>
        <v/>
      </c>
    </row>
    <row r="197">
      <c r="A197" s="28">
        <f>Working_Data!A197</f>
        <v/>
      </c>
      <c r="B197" s="27">
        <f>Working_Data!B197</f>
        <v/>
      </c>
      <c r="C197" s="27">
        <f>Working_Data!C197</f>
        <v/>
      </c>
      <c r="D197" s="27">
        <f>Working_Data!D197</f>
        <v/>
      </c>
      <c r="E197" s="27">
        <f>Working_Data!E197</f>
        <v/>
      </c>
      <c r="F197" s="28">
        <f>Working_Data!P197</f>
        <v/>
      </c>
      <c r="G197" s="28">
        <f>Working_Data!Q197</f>
        <v/>
      </c>
      <c r="H197" s="28">
        <f>Working_Data!R197</f>
        <v/>
      </c>
      <c r="I197" s="28">
        <f>Working_Data!S197</f>
        <v/>
      </c>
      <c r="J197" s="28">
        <f>Working_Data!T197</f>
        <v/>
      </c>
    </row>
    <row r="198">
      <c r="A198" s="28">
        <f>Working_Data!A198</f>
        <v/>
      </c>
      <c r="B198" s="27">
        <f>Working_Data!B198</f>
        <v/>
      </c>
      <c r="C198" s="27">
        <f>Working_Data!C198</f>
        <v/>
      </c>
      <c r="D198" s="27">
        <f>Working_Data!D198</f>
        <v/>
      </c>
      <c r="E198" s="27">
        <f>Working_Data!E198</f>
        <v/>
      </c>
      <c r="F198" s="28">
        <f>Working_Data!P198</f>
        <v/>
      </c>
      <c r="G198" s="28">
        <f>Working_Data!Q198</f>
        <v/>
      </c>
      <c r="H198" s="28">
        <f>Working_Data!R198</f>
        <v/>
      </c>
      <c r="I198" s="28">
        <f>Working_Data!S198</f>
        <v/>
      </c>
      <c r="J198" s="28">
        <f>Working_Data!T198</f>
        <v/>
      </c>
    </row>
    <row r="199">
      <c r="A199" s="28">
        <f>Working_Data!A199</f>
        <v/>
      </c>
      <c r="B199" s="27">
        <f>Working_Data!B199</f>
        <v/>
      </c>
      <c r="C199" s="27">
        <f>Working_Data!C199</f>
        <v/>
      </c>
      <c r="D199" s="27">
        <f>Working_Data!D199</f>
        <v/>
      </c>
      <c r="E199" s="27">
        <f>Working_Data!E199</f>
        <v/>
      </c>
      <c r="F199" s="28">
        <f>Working_Data!P199</f>
        <v/>
      </c>
      <c r="G199" s="28">
        <f>Working_Data!Q199</f>
        <v/>
      </c>
      <c r="H199" s="28">
        <f>Working_Data!R199</f>
        <v/>
      </c>
      <c r="I199" s="28">
        <f>Working_Data!S199</f>
        <v/>
      </c>
      <c r="J199" s="28">
        <f>Working_Data!T199</f>
        <v/>
      </c>
    </row>
    <row r="200">
      <c r="A200" s="28">
        <f>Working_Data!A200</f>
        <v/>
      </c>
      <c r="B200" s="27">
        <f>Working_Data!B200</f>
        <v/>
      </c>
      <c r="C200" s="27">
        <f>Working_Data!C200</f>
        <v/>
      </c>
      <c r="D200" s="27">
        <f>Working_Data!D200</f>
        <v/>
      </c>
      <c r="E200" s="27">
        <f>Working_Data!E200</f>
        <v/>
      </c>
      <c r="F200" s="28">
        <f>Working_Data!P200</f>
        <v/>
      </c>
      <c r="G200" s="28">
        <f>Working_Data!Q200</f>
        <v/>
      </c>
      <c r="H200" s="28">
        <f>Working_Data!R200</f>
        <v/>
      </c>
      <c r="I200" s="28">
        <f>Working_Data!S200</f>
        <v/>
      </c>
      <c r="J200" s="28">
        <f>Working_Data!T200</f>
        <v/>
      </c>
    </row>
    <row r="201">
      <c r="A201" s="28">
        <f>Working_Data!A201</f>
        <v/>
      </c>
      <c r="B201" s="27">
        <f>Working_Data!B201</f>
        <v/>
      </c>
      <c r="C201" s="27">
        <f>Working_Data!C201</f>
        <v/>
      </c>
      <c r="D201" s="27">
        <f>Working_Data!D201</f>
        <v/>
      </c>
      <c r="E201" s="27">
        <f>Working_Data!E201</f>
        <v/>
      </c>
      <c r="F201" s="28">
        <f>Working_Data!P201</f>
        <v/>
      </c>
      <c r="G201" s="28">
        <f>Working_Data!Q201</f>
        <v/>
      </c>
      <c r="H201" s="28">
        <f>Working_Data!R201</f>
        <v/>
      </c>
      <c r="I201" s="28">
        <f>Working_Data!S201</f>
        <v/>
      </c>
      <c r="J201" s="28">
        <f>Working_Data!T201</f>
        <v/>
      </c>
    </row>
    <row r="202">
      <c r="A202" s="28">
        <f>Working_Data!A202</f>
        <v/>
      </c>
      <c r="B202" s="27">
        <f>Working_Data!B202</f>
        <v/>
      </c>
      <c r="C202" s="27">
        <f>Working_Data!C202</f>
        <v/>
      </c>
      <c r="D202" s="27">
        <f>Working_Data!D202</f>
        <v/>
      </c>
      <c r="E202" s="27">
        <f>Working_Data!E202</f>
        <v/>
      </c>
      <c r="F202" s="28">
        <f>Working_Data!P202</f>
        <v/>
      </c>
      <c r="G202" s="28">
        <f>Working_Data!Q202</f>
        <v/>
      </c>
      <c r="H202" s="28">
        <f>Working_Data!R202</f>
        <v/>
      </c>
      <c r="I202" s="28">
        <f>Working_Data!S202</f>
        <v/>
      </c>
      <c r="J202" s="28">
        <f>Working_Data!T202</f>
        <v/>
      </c>
    </row>
    <row r="203">
      <c r="A203" s="28">
        <f>Working_Data!A203</f>
        <v/>
      </c>
      <c r="B203" s="27">
        <f>Working_Data!B203</f>
        <v/>
      </c>
      <c r="C203" s="27">
        <f>Working_Data!C203</f>
        <v/>
      </c>
      <c r="D203" s="27">
        <f>Working_Data!D203</f>
        <v/>
      </c>
      <c r="E203" s="27">
        <f>Working_Data!E203</f>
        <v/>
      </c>
      <c r="F203" s="28">
        <f>Working_Data!P203</f>
        <v/>
      </c>
      <c r="G203" s="28">
        <f>Working_Data!Q203</f>
        <v/>
      </c>
      <c r="H203" s="28">
        <f>Working_Data!R203</f>
        <v/>
      </c>
      <c r="I203" s="28">
        <f>Working_Data!S203</f>
        <v/>
      </c>
      <c r="J203" s="28">
        <f>Working_Data!T203</f>
        <v/>
      </c>
    </row>
    <row r="204">
      <c r="A204" s="28">
        <f>Working_Data!A204</f>
        <v/>
      </c>
      <c r="B204" s="27">
        <f>Working_Data!B204</f>
        <v/>
      </c>
      <c r="C204" s="27">
        <f>Working_Data!C204</f>
        <v/>
      </c>
      <c r="D204" s="27">
        <f>Working_Data!D204</f>
        <v/>
      </c>
      <c r="E204" s="27">
        <f>Working_Data!E204</f>
        <v/>
      </c>
      <c r="F204" s="28">
        <f>Working_Data!P204</f>
        <v/>
      </c>
      <c r="G204" s="28">
        <f>Working_Data!Q204</f>
        <v/>
      </c>
      <c r="H204" s="28">
        <f>Working_Data!R204</f>
        <v/>
      </c>
      <c r="I204" s="28">
        <f>Working_Data!S204</f>
        <v/>
      </c>
      <c r="J204" s="28">
        <f>Working_Data!T204</f>
        <v/>
      </c>
    </row>
  </sheetData>
  <autoFilter ref="A4:J204"/>
  <mergeCells count="3">
    <mergeCell ref="A2:H2"/>
    <mergeCell ref="L5:Q6"/>
    <mergeCell ref="A1:H1"/>
  </mergeCells>
  <conditionalFormatting sqref="J5:J204">
    <cfRule type="expression" priority="1" dxfId="0">
      <formula>$J5="Review outlier"</formula>
    </cfRule>
    <cfRule type="expression" priority="2" dxfId="1">
      <formula>AND($J5&lt;&gt;"OK",$J5&lt;&gt;"Review outlier")</formula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8" customWidth="1" min="4" max="4"/>
    <col width="20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NEXA Dataset | Executive Analytical Snapshot</t>
        </is>
      </c>
    </row>
    <row r="2">
      <c r="A2" s="24" t="inlineStr">
        <is>
          <t>Key statistical results and initial analytical views.</t>
        </is>
      </c>
    </row>
    <row r="3"/>
    <row r="4">
      <c r="A4" s="19" t="inlineStr">
        <is>
          <t>Data Quality</t>
        </is>
      </c>
      <c r="D4" s="19" t="inlineStr">
        <is>
          <t>Core Statistical Outputs</t>
        </is>
      </c>
    </row>
    <row r="5">
      <c r="A5" s="13" t="inlineStr">
        <is>
          <t>Observations</t>
        </is>
      </c>
      <c r="B5" s="6">
        <f>Data_Quality!B5</f>
        <v/>
      </c>
      <c r="D5" s="21" t="inlineStr">
        <is>
          <t>TV ↔ Sales correlation</t>
        </is>
      </c>
      <c r="E5" s="20">
        <f>Correlation!E5</f>
        <v/>
      </c>
    </row>
    <row r="6">
      <c r="A6" s="13" t="inlineStr">
        <is>
          <t>Source columns</t>
        </is>
      </c>
      <c r="B6" s="6">
        <f>Data_Quality!B6</f>
        <v/>
      </c>
      <c r="D6" s="21" t="inlineStr">
        <is>
          <t>Social ↔ Sales correlation</t>
        </is>
      </c>
      <c r="E6" s="20">
        <f>Correlation!E6</f>
        <v/>
      </c>
    </row>
    <row r="7">
      <c r="A7" s="13" t="inlineStr">
        <is>
          <t>Missing cells</t>
        </is>
      </c>
      <c r="B7" s="6">
        <f>Data_Quality!B7</f>
        <v/>
      </c>
      <c r="D7" s="21" t="inlineStr">
        <is>
          <t>Print ↔ Sales correlation</t>
        </is>
      </c>
      <c r="E7" s="20">
        <f>Correlation!E7</f>
        <v/>
      </c>
    </row>
    <row r="8">
      <c r="A8" s="13" t="inlineStr">
        <is>
          <t>Negative values</t>
        </is>
      </c>
      <c r="B8" s="6">
        <f>Data_Quality!B8</f>
        <v/>
      </c>
      <c r="D8" s="21" t="inlineStr">
        <is>
          <t>Multiple-regression R²</t>
        </is>
      </c>
      <c r="E8" s="20">
        <f>Regression_Model!B16</f>
        <v/>
      </c>
    </row>
    <row r="9">
      <c r="A9" s="13" t="inlineStr">
        <is>
          <t>Duplicate-ID rows</t>
        </is>
      </c>
      <c r="B9" s="6">
        <f>Data_Quality!B9</f>
        <v/>
      </c>
      <c r="D9" s="21" t="inlineStr">
        <is>
          <t>Adjusted R²</t>
        </is>
      </c>
      <c r="E9" s="20">
        <f>Regression_Model!B17</f>
        <v/>
      </c>
    </row>
    <row r="10">
      <c r="A10" s="13" t="inlineStr">
        <is>
          <t>Rows requiring review</t>
        </is>
      </c>
      <c r="B10" s="6">
        <f>Data_Quality!B13</f>
        <v/>
      </c>
      <c r="D10" s="21" t="inlineStr">
        <is>
          <t>Regression F statistic</t>
        </is>
      </c>
      <c r="E10" s="20">
        <f>Regression_Model!B18</f>
        <v/>
      </c>
    </row>
    <row r="11">
      <c r="D11" s="21" t="inlineStr">
        <is>
          <t>Model p value</t>
        </is>
      </c>
      <c r="E11" s="20">
        <f>Regression_Model!B19</f>
        <v/>
      </c>
    </row>
    <row r="12"/>
    <row r="13">
      <c r="A13" s="19" t="inlineStr">
        <is>
          <t>Analyst notes</t>
        </is>
      </c>
    </row>
    <row r="14" ht="28" customHeight="1">
      <c r="A14" s="4" t="inlineStr">
        <is>
          <t>1. The source data is retained separately from calculated fields.</t>
        </is>
      </c>
      <c r="B14" s="22" t="n"/>
      <c r="C14" s="22" t="n"/>
      <c r="D14" s="22" t="n"/>
      <c r="E14" s="22" t="n"/>
      <c r="F14" s="22" t="n"/>
      <c r="G14" s="22" t="n"/>
      <c r="H14" s="23" t="n"/>
    </row>
    <row r="15" ht="28" customHeight="1">
      <c r="A15" s="4" t="inlineStr">
        <is>
          <t>2. Calculated fields are used for spend totals, channel shares, standardised values and review flags.</t>
        </is>
      </c>
      <c r="B15" s="22" t="n"/>
      <c r="C15" s="22" t="n"/>
      <c r="D15" s="22" t="n"/>
      <c r="E15" s="22" t="n"/>
      <c r="F15" s="22" t="n"/>
      <c r="G15" s="22" t="n"/>
      <c r="H15" s="23" t="n"/>
    </row>
    <row r="16" ht="28" customHeight="1">
      <c r="A16" s="4" t="inlineStr">
        <is>
          <t>3. Records flagged as outliers remain in the dataset and should be investigated before any modelling decision.</t>
        </is>
      </c>
      <c r="B16" s="22" t="n"/>
      <c r="C16" s="22" t="n"/>
      <c r="D16" s="22" t="n"/>
      <c r="E16" s="22" t="n"/>
      <c r="F16" s="22" t="n"/>
      <c r="G16" s="22" t="n"/>
      <c r="H16" s="23" t="n"/>
    </row>
    <row r="17" ht="28" customHeight="1">
      <c r="A17" s="4" t="inlineStr">
        <is>
          <t>4. Customer purchase factors and market/macroeconomic trends are outside the supplied dataset and require separate research.</t>
        </is>
      </c>
      <c r="B17" s="22" t="n"/>
      <c r="C17" s="22" t="n"/>
      <c r="D17" s="22" t="n"/>
      <c r="E17" s="22" t="n"/>
      <c r="F17" s="22" t="n"/>
      <c r="G17" s="22" t="n"/>
      <c r="H17" s="23" t="n"/>
    </row>
    <row r="18" ht="28" customHeight="1">
      <c r="A18" s="4" t="inlineStr">
        <is>
          <t>5. Statistical association should not be presented as causal impact without additional evidence.</t>
        </is>
      </c>
      <c r="B18" s="22" t="n"/>
      <c r="C18" s="22" t="n"/>
      <c r="D18" s="22" t="n"/>
      <c r="E18" s="22" t="n"/>
      <c r="F18" s="22" t="n"/>
      <c r="G18" s="22" t="n"/>
      <c r="H18" s="23" t="n"/>
    </row>
    <row r="19" ht="28" customHeight="1">
      <c r="A19" s="4" t="inlineStr">
        <is>
          <t>6. Correlation and regression describe statistical association. They should not be presented as causal proof without a stronger identification strategy.</t>
        </is>
      </c>
      <c r="B19" s="22" t="n"/>
      <c r="C19" s="22" t="n"/>
      <c r="D19" s="22" t="n"/>
      <c r="E19" s="22" t="n"/>
      <c r="F19" s="22" t="n"/>
      <c r="G19" s="22" t="n"/>
      <c r="H19" s="23" t="n"/>
    </row>
  </sheetData>
  <mergeCells count="8">
    <mergeCell ref="A18:H18"/>
    <mergeCell ref="A15:H15"/>
    <mergeCell ref="A16:H16"/>
    <mergeCell ref="A2:H2"/>
    <mergeCell ref="A19:H19"/>
    <mergeCell ref="A14:H14"/>
    <mergeCell ref="A1:H1"/>
    <mergeCell ref="A17:H17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7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Data Dictionary | Source + Derived Fields</t>
        </is>
      </c>
    </row>
    <row r="2">
      <c r="A2" s="24" t="inlineStr">
        <is>
          <t>Definitions of source and calculated fields.</t>
        </is>
      </c>
    </row>
    <row r="3"/>
    <row r="4">
      <c r="A4" s="25" t="inlineStr">
        <is>
          <t>Field</t>
        </is>
      </c>
      <c r="B4" s="25" t="inlineStr">
        <is>
          <t>Type</t>
        </is>
      </c>
      <c r="C4" s="25" t="inlineStr">
        <is>
          <t>Calculation / source</t>
        </is>
      </c>
      <c r="D4" s="25" t="inlineStr">
        <is>
          <t>Definition</t>
        </is>
      </c>
    </row>
    <row r="5">
      <c r="A5" s="29" t="inlineStr">
        <is>
          <t>market_number</t>
        </is>
      </c>
      <c r="B5" s="29" t="inlineStr">
        <is>
          <t>Source</t>
        </is>
      </c>
      <c r="C5" s="29" t="inlineStr">
        <is>
          <t>Supplied in CSV</t>
        </is>
      </c>
      <c r="D5" s="29" t="inlineStr">
        <is>
          <t>Market identifier.</t>
        </is>
      </c>
    </row>
    <row r="6">
      <c r="A6" s="29" t="inlineStr">
        <is>
          <t>tv_ads</t>
        </is>
      </c>
      <c r="B6" s="29" t="inlineStr">
        <is>
          <t>Source</t>
        </is>
      </c>
      <c r="C6" s="29" t="inlineStr">
        <is>
          <t>Supplied in CSV</t>
        </is>
      </c>
      <c r="D6" s="29" t="inlineStr">
        <is>
          <t>Television advertising expenditure, in thousand dollars.</t>
        </is>
      </c>
    </row>
    <row r="7">
      <c r="A7" s="29" t="inlineStr">
        <is>
          <t>social_media_ads</t>
        </is>
      </c>
      <c r="B7" s="29" t="inlineStr">
        <is>
          <t>Source</t>
        </is>
      </c>
      <c r="C7" s="29" t="inlineStr">
        <is>
          <t>Supplied in CSV</t>
        </is>
      </c>
      <c r="D7" s="29" t="inlineStr">
        <is>
          <t>Social media advertising expenditure, in thousand dollars.</t>
        </is>
      </c>
    </row>
    <row r="8">
      <c r="A8" s="29" t="inlineStr">
        <is>
          <t>print_ads</t>
        </is>
      </c>
      <c r="B8" s="29" t="inlineStr">
        <is>
          <t>Source</t>
        </is>
      </c>
      <c r="C8" s="29" t="inlineStr">
        <is>
          <t>Supplied in CSV</t>
        </is>
      </c>
      <c r="D8" s="29" t="inlineStr">
        <is>
          <t>Print advertising expenditure, in thousand dollars.</t>
        </is>
      </c>
    </row>
    <row r="9">
      <c r="A9" s="29" t="inlineStr">
        <is>
          <t>sales</t>
        </is>
      </c>
      <c r="B9" s="29" t="inlineStr">
        <is>
          <t>Source</t>
        </is>
      </c>
      <c r="C9" s="29" t="inlineStr">
        <is>
          <t>Supplied in CSV</t>
        </is>
      </c>
      <c r="D9" s="29" t="inlineStr">
        <is>
          <t>NEXA One sales, in thousand units.</t>
        </is>
      </c>
    </row>
    <row r="10">
      <c r="A10" s="29" t="inlineStr">
        <is>
          <t>total_ads</t>
        </is>
      </c>
      <c r="B10" s="29" t="inlineStr">
        <is>
          <t>Calculated</t>
        </is>
      </c>
      <c r="C10" s="29" t="inlineStr">
        <is>
          <t>SUM(tv_ads, social_media_ads, print_ads)</t>
        </is>
      </c>
      <c r="D10" s="29" t="inlineStr">
        <is>
          <t>Total advertising expenditure across the three channels.</t>
        </is>
      </c>
    </row>
    <row r="11">
      <c r="A11" s="29" t="inlineStr">
        <is>
          <t>tv_share</t>
        </is>
      </c>
      <c r="B11" s="29" t="inlineStr">
        <is>
          <t>Calculated</t>
        </is>
      </c>
      <c r="C11" s="29" t="inlineStr">
        <is>
          <t>tv_ads / total_ads</t>
        </is>
      </c>
      <c r="D11" s="29" t="inlineStr">
        <is>
          <t>TV share of total advertising expenditure.</t>
        </is>
      </c>
    </row>
    <row r="12">
      <c r="A12" s="29" t="inlineStr">
        <is>
          <t>social_share</t>
        </is>
      </c>
      <c r="B12" s="29" t="inlineStr">
        <is>
          <t>Calculated</t>
        </is>
      </c>
      <c r="C12" s="29" t="inlineStr">
        <is>
          <t>social_media_ads / total_ads</t>
        </is>
      </c>
      <c r="D12" s="29" t="inlineStr">
        <is>
          <t>Social media share of total advertising expenditure.</t>
        </is>
      </c>
    </row>
    <row r="13">
      <c r="A13" s="29" t="inlineStr">
        <is>
          <t>print_share</t>
        </is>
      </c>
      <c r="B13" s="29" t="inlineStr">
        <is>
          <t>Calculated</t>
        </is>
      </c>
      <c r="C13" s="29" t="inlineStr">
        <is>
          <t>print_ads / total_ads</t>
        </is>
      </c>
      <c r="D13" s="29" t="inlineStr">
        <is>
          <t>Print share of total advertising expenditure.</t>
        </is>
      </c>
    </row>
    <row r="14">
      <c r="A14" s="29" t="inlineStr">
        <is>
          <t>sales_per_total_ad</t>
        </is>
      </c>
      <c r="B14" s="29" t="inlineStr">
        <is>
          <t>Calculated</t>
        </is>
      </c>
      <c r="C14" s="29" t="inlineStr">
        <is>
          <t>sales / total_ads</t>
        </is>
      </c>
      <c r="D14" s="29" t="inlineStr">
        <is>
          <t>Sales relative to total advertising expenditure. This is a descriptive ratio, not a causal ROI estimate.</t>
        </is>
      </c>
    </row>
    <row r="15">
      <c r="A15" s="29" t="inlineStr">
        <is>
          <t>tv_z</t>
        </is>
      </c>
      <c r="B15" s="29" t="inlineStr">
        <is>
          <t>Calculated</t>
        </is>
      </c>
      <c r="C15" s="29" t="inlineStr">
        <is>
          <t>(tv_ads - mean) / sample standard deviation</t>
        </is>
      </c>
      <c r="D15" s="29" t="inlineStr">
        <is>
          <t>Standardised TV advertising expenditure.</t>
        </is>
      </c>
    </row>
    <row r="16">
      <c r="A16" s="29" t="inlineStr">
        <is>
          <t>social_z</t>
        </is>
      </c>
      <c r="B16" s="29" t="inlineStr">
        <is>
          <t>Calculated</t>
        </is>
      </c>
      <c r="C16" s="29" t="inlineStr">
        <is>
          <t>(social_media_ads - mean) / sample standard deviation</t>
        </is>
      </c>
      <c r="D16" s="29" t="inlineStr">
        <is>
          <t>Standardised social media advertising expenditure.</t>
        </is>
      </c>
    </row>
    <row r="17">
      <c r="A17" s="29" t="inlineStr">
        <is>
          <t>print_z</t>
        </is>
      </c>
      <c r="B17" s="29" t="inlineStr">
        <is>
          <t>Calculated</t>
        </is>
      </c>
      <c r="C17" s="29" t="inlineStr">
        <is>
          <t>(print_ads - mean) / sample standard deviation</t>
        </is>
      </c>
      <c r="D17" s="29" t="inlineStr">
        <is>
          <t>Standardised print advertising expenditure.</t>
        </is>
      </c>
    </row>
    <row r="18">
      <c r="A18" s="29" t="inlineStr">
        <is>
          <t>sales_z</t>
        </is>
      </c>
      <c r="B18" s="29" t="inlineStr">
        <is>
          <t>Calculated</t>
        </is>
      </c>
      <c r="C18" s="29" t="inlineStr">
        <is>
          <t>(sales - mean) / sample standard deviation</t>
        </is>
      </c>
      <c r="D18" s="29" t="inlineStr">
        <is>
          <t>Standardised sales.</t>
        </is>
      </c>
    </row>
    <row r="19">
      <c r="A19" s="29" t="inlineStr">
        <is>
          <t>total_ads_z</t>
        </is>
      </c>
      <c r="B19" s="29" t="inlineStr">
        <is>
          <t>Calculated</t>
        </is>
      </c>
      <c r="C19" s="29" t="inlineStr">
        <is>
          <t>(total_ads - mean) / sample standard deviation</t>
        </is>
      </c>
      <c r="D19" s="29" t="inlineStr">
        <is>
          <t>Standardised total advertising expenditure.</t>
        </is>
      </c>
    </row>
    <row r="20">
      <c r="A20" s="29" t="inlineStr">
        <is>
          <t>tv_outlier_iqr</t>
        </is>
      </c>
      <c r="B20" s="29" t="inlineStr">
        <is>
          <t>Calculated</t>
        </is>
      </c>
      <c r="C20" s="29" t="inlineStr">
        <is>
          <t>IQR rule</t>
        </is>
      </c>
      <c r="D20" s="29" t="inlineStr">
        <is>
          <t>Flags unusually low or high TV advertising observations for review.</t>
        </is>
      </c>
    </row>
    <row r="21">
      <c r="A21" s="29" t="inlineStr">
        <is>
          <t>social_media_outlier_iqr</t>
        </is>
      </c>
      <c r="B21" s="29" t="inlineStr">
        <is>
          <t>Calculated</t>
        </is>
      </c>
      <c r="C21" s="29" t="inlineStr">
        <is>
          <t>IQR rule</t>
        </is>
      </c>
      <c r="D21" s="29" t="inlineStr">
        <is>
          <t>Flags unusually low or high social media advertising observations for review.</t>
        </is>
      </c>
    </row>
    <row r="22">
      <c r="A22" s="29" t="inlineStr">
        <is>
          <t>print_outlier_iqr</t>
        </is>
      </c>
      <c r="B22" s="29" t="inlineStr">
        <is>
          <t>Calculated</t>
        </is>
      </c>
      <c r="C22" s="29" t="inlineStr">
        <is>
          <t>IQR rule</t>
        </is>
      </c>
      <c r="D22" s="29" t="inlineStr">
        <is>
          <t>Flags unusually low or high print advertising observations for review.</t>
        </is>
      </c>
    </row>
    <row r="23">
      <c r="A23" s="29" t="inlineStr">
        <is>
          <t>sales_outlier_iqr</t>
        </is>
      </c>
      <c r="B23" s="29" t="inlineStr">
        <is>
          <t>Calculated</t>
        </is>
      </c>
      <c r="C23" s="29" t="inlineStr">
        <is>
          <t>IQR rule</t>
        </is>
      </c>
      <c r="D23" s="29" t="inlineStr">
        <is>
          <t>Flags unusually low or high sales observations for review.</t>
        </is>
      </c>
    </row>
    <row r="24">
      <c r="A24" s="29" t="inlineStr">
        <is>
          <t>row_quality_status</t>
        </is>
      </c>
      <c r="B24" s="29" t="inlineStr">
        <is>
          <t>Calculated</t>
        </is>
      </c>
      <c r="C24" s="29" t="inlineStr">
        <is>
          <t>Validation checks</t>
        </is>
      </c>
      <c r="D24" s="29" t="inlineStr">
        <is>
          <t>Summarises missing values, negative values, duplicate IDs and outlier flags for each row.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2026-09-21T12:16:41Z</dcterms:created>
  <dcterms:modified xmlns:dcterms="http://purl.org/dc/terms/" xmlns:xsi="http://www.w3.org/2001/XMLSchema-instance" xsi:type="dcterms:W3CDTF">2026-09-21T12:27:39Z</dcterms:modified>
</cp:coreProperties>
</file>